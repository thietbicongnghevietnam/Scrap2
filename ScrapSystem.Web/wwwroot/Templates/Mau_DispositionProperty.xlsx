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M Inovation2\SCM_Inovation\FreeLayout\"/>
    </mc:Choice>
  </mc:AlternateContent>
  <xr:revisionPtr revIDLastSave="0" documentId="13_ncr:1_{327E6093-BCD0-45F1-A257-60BD174E7A4B}" xr6:coauthVersionLast="47" xr6:coauthVersionMax="47" xr10:uidLastSave="{00000000-0000-0000-0000-000000000000}"/>
  <bookViews>
    <workbookView xWindow="-120" yWindow="-120" windowWidth="29040" windowHeight="15720" xr2:uid="{2D6195AC-DB7A-43F6-A252-44959C9C545B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5" i="1" l="1"/>
  <c r="M75" i="1"/>
  <c r="L75" i="1"/>
  <c r="W10" i="1"/>
  <c r="V10" i="1"/>
  <c r="W9" i="1"/>
  <c r="V9" i="1"/>
  <c r="W8" i="1"/>
  <c r="V8" i="1"/>
  <c r="W7" i="1"/>
  <c r="V7" i="1"/>
  <c r="W6" i="1"/>
  <c r="V6" i="1"/>
</calcChain>
</file>

<file path=xl/sharedStrings.xml><?xml version="1.0" encoding="utf-8"?>
<sst xmlns="http://schemas.openxmlformats.org/spreadsheetml/2006/main" count="163" uniqueCount="103">
  <si>
    <t>Disposition Property List (FA)</t>
  </si>
  <si>
    <t>Date:</t>
  </si>
  <si>
    <t>No</t>
    <phoneticPr fontId="0"/>
  </si>
  <si>
    <t>Control No</t>
    <phoneticPr fontId="0"/>
  </si>
  <si>
    <t xml:space="preserve">Category </t>
  </si>
  <si>
    <t>PIC</t>
  </si>
  <si>
    <t>Import No</t>
  </si>
  <si>
    <t>Name</t>
  </si>
  <si>
    <t>Q'ty</t>
  </si>
  <si>
    <t>Unit</t>
    <phoneticPr fontId="0"/>
  </si>
  <si>
    <t>Model/ Part No</t>
  </si>
  <si>
    <t>Supplier</t>
  </si>
  <si>
    <t>Price
(USD)</t>
  </si>
  <si>
    <t>Total Asset Asquisition value
(USD)</t>
  </si>
  <si>
    <t>Book Value</t>
  </si>
  <si>
    <t>Currency</t>
  </si>
  <si>
    <t>FA/
TOOL</t>
  </si>
  <si>
    <t>INV No</t>
    <phoneticPr fontId="0"/>
  </si>
  <si>
    <t>CD No</t>
    <phoneticPr fontId="0"/>
  </si>
  <si>
    <t>CD Date</t>
    <phoneticPr fontId="0"/>
  </si>
  <si>
    <t>CD'S Item No</t>
  </si>
  <si>
    <t>Reason</t>
  </si>
  <si>
    <t>Pallet No.</t>
  </si>
  <si>
    <t>Status</t>
  </si>
  <si>
    <t>Equipment Type</t>
  </si>
  <si>
    <t>Receiving Date</t>
  </si>
  <si>
    <t>Equipment Name</t>
  </si>
  <si>
    <t>Product Model</t>
  </si>
  <si>
    <t>Maker</t>
  </si>
  <si>
    <t>Serial</t>
  </si>
  <si>
    <t>FA No</t>
  </si>
  <si>
    <t>Cost center</t>
  </si>
  <si>
    <t>Store</t>
  </si>
  <si>
    <t>Location</t>
  </si>
  <si>
    <t>Remark 1</t>
  </si>
  <si>
    <t>Remark 2</t>
  </si>
  <si>
    <t>Handover_No</t>
  </si>
  <si>
    <t>CD_No</t>
  </si>
  <si>
    <t>CD_type</t>
  </si>
  <si>
    <t>CD_Date</t>
  </si>
  <si>
    <t>Invoice</t>
  </si>
  <si>
    <t>PO_No</t>
  </si>
  <si>
    <t>Bill</t>
  </si>
  <si>
    <t>Part_No</t>
  </si>
  <si>
    <t>English_name</t>
  </si>
  <si>
    <t>Origin</t>
  </si>
  <si>
    <t>Q_ty</t>
  </si>
  <si>
    <t>Unit</t>
  </si>
  <si>
    <t>Unit_Price</t>
  </si>
  <si>
    <t>Amount</t>
  </si>
  <si>
    <t>HS_code</t>
  </si>
  <si>
    <t>STTHang</t>
  </si>
  <si>
    <t>-</t>
  </si>
  <si>
    <t>SET</t>
  </si>
  <si>
    <t>53131A</t>
  </si>
  <si>
    <t>MISUMI KAIUN</t>
  </si>
  <si>
    <t>MKV0619</t>
  </si>
  <si>
    <t>Using</t>
  </si>
  <si>
    <t>FA</t>
  </si>
  <si>
    <t>Frequency counter</t>
  </si>
  <si>
    <t>Agilent Technologies</t>
  </si>
  <si>
    <t>MY40014782</t>
  </si>
  <si>
    <t>NB6000</t>
  </si>
  <si>
    <t>PE-ME ROOM</t>
  </si>
  <si>
    <t>ME-R1-A3-1</t>
  </si>
  <si>
    <t>Option 010</t>
  </si>
  <si>
    <t>NDT11</t>
  </si>
  <si>
    <t>2013PA-PE-1146</t>
  </si>
  <si>
    <t>STE - 2311 7754</t>
  </si>
  <si>
    <t>Bộ đếm tần số đo, kiểm tra lượng điện 53131A, gồm phụ kiện đi kèm: giấy chứng nhận hiệu chuẩn và sơ đồ dẫn chuẩn.</t>
  </si>
  <si>
    <t>Malaysia</t>
  </si>
  <si>
    <t>USD</t>
  </si>
  <si>
    <t>NihonDenkei VN</t>
  </si>
  <si>
    <t>inv-08-pcv-0032</t>
  </si>
  <si>
    <t>MY47001020</t>
  </si>
  <si>
    <t>ME-R1-A3-2</t>
  </si>
  <si>
    <t>NTA12</t>
  </si>
  <si>
    <t>2008po-fesh-0039/ 001</t>
  </si>
  <si>
    <t>Bộ đếm tần số đo, kiểm tra lượng điện, Model: 53131A, điện áp đầu vào: 100V.</t>
  </si>
  <si>
    <t>PCE</t>
  </si>
  <si>
    <t>53132A</t>
  </si>
  <si>
    <t>Misumi kaiun</t>
  </si>
  <si>
    <t>MKV0665</t>
  </si>
  <si>
    <t>MY40006232</t>
  </si>
  <si>
    <t>E13</t>
  </si>
  <si>
    <t>2014PA-PE-0355</t>
  </si>
  <si>
    <t>STE-2312 1965</t>
  </si>
  <si>
    <t>Máy đo tần số dòng điện 100 VAC - 240 VAC. Hàng mới 100%</t>
  </si>
  <si>
    <t>MALYSIA</t>
  </si>
  <si>
    <t>MY40006851</t>
  </si>
  <si>
    <t>NB2000</t>
  </si>
  <si>
    <t>ME-R1-A3-3</t>
  </si>
  <si>
    <t>BLLDD số 2024.04.19 FADECT-PEDECT</t>
  </si>
  <si>
    <t>149-10A</t>
  </si>
  <si>
    <t>NIHON DENKEI</t>
  </si>
  <si>
    <t>High Voltage Digital Voltmeter</t>
  </si>
  <si>
    <t>KIKUSUI</t>
  </si>
  <si>
    <t>AN002768</t>
  </si>
  <si>
    <t>NBM000</t>
  </si>
  <si>
    <t>ME-R1-B1-1</t>
  </si>
  <si>
    <t>Thiết bị đo điệp áp cao, điện áp: 100VAC, 50/60Hz, Model: 149-10A, Hãng sản xuất: Kikusui, Hàng mới 100%</t>
  </si>
  <si>
    <t>JAPAN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</si>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</sst>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[$-409]d\-mmm\-yyyy;@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2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1"/>
      <name val="ＭＳ Ｐゴシック"/>
      <family val="3"/>
      <charset val="128"/>
    </font>
    <font>
      <sz val="14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name val="Times New Roman"/>
      <family val="1"/>
    </font>
    <font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6" fillId="0" borderId="0">
      <alignment vertical="center"/>
    </xf>
    <xf numFmtId="43" fontId="1" fillId="0" borderId="0" applyFont="0" applyFill="0" applyBorder="0" applyAlignment="0" applyProtection="0"/>
    <xf numFmtId="0" fontId="7" fillId="0" borderId="0"/>
  </cellStyleXfs>
  <cellXfs count="84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43" fontId="2" fillId="3" borderId="0" xfId="2" applyFont="1" applyFill="1" applyAlignment="1">
      <alignment vertical="center"/>
    </xf>
    <xf numFmtId="0" fontId="2" fillId="3" borderId="0" xfId="1" applyFont="1" applyFill="1" applyAlignment="1">
      <alignment vertical="center"/>
    </xf>
    <xf numFmtId="0" fontId="2" fillId="4" borderId="0" xfId="1" applyFont="1" applyFill="1" applyAlignment="1">
      <alignment vertical="center"/>
    </xf>
    <xf numFmtId="164" fontId="2" fillId="3" borderId="0" xfId="1" applyNumberFormat="1" applyFont="1" applyFill="1" applyAlignment="1">
      <alignment vertical="center"/>
    </xf>
    <xf numFmtId="0" fontId="2" fillId="5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3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center" vertical="center" shrinkToFit="1"/>
    </xf>
    <xf numFmtId="0" fontId="2" fillId="3" borderId="0" xfId="1" applyFont="1" applyFill="1" applyAlignment="1">
      <alignment horizontal="left" vertical="center" wrapText="1"/>
    </xf>
    <xf numFmtId="43" fontId="2" fillId="3" borderId="0" xfId="2" applyFont="1" applyFill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 shrinkToFit="1"/>
    </xf>
    <xf numFmtId="43" fontId="2" fillId="3" borderId="0" xfId="2" applyFont="1" applyFill="1" applyAlignment="1">
      <alignment horizontal="right" vertical="center" wrapText="1"/>
    </xf>
    <xf numFmtId="2" fontId="2" fillId="3" borderId="0" xfId="2" applyNumberFormat="1" applyFont="1" applyFill="1" applyAlignment="1">
      <alignment horizontal="center" vertical="center" wrapText="1"/>
    </xf>
    <xf numFmtId="1" fontId="2" fillId="3" borderId="0" xfId="2" applyNumberFormat="1" applyFont="1" applyFill="1" applyAlignment="1">
      <alignment horizontal="center" vertical="center" wrapText="1"/>
    </xf>
    <xf numFmtId="164" fontId="2" fillId="3" borderId="0" xfId="1" applyNumberFormat="1" applyFont="1" applyFill="1" applyAlignment="1">
      <alignment horizontal="center" vertical="center" shrinkToFit="1"/>
    </xf>
    <xf numFmtId="0" fontId="3" fillId="3" borderId="0" xfId="1" applyFont="1" applyFill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shrinkToFit="1"/>
    </xf>
    <xf numFmtId="0" fontId="4" fillId="3" borderId="2" xfId="1" applyFont="1" applyFill="1" applyBorder="1" applyAlignment="1">
      <alignment horizontal="left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 shrinkToFit="1"/>
    </xf>
    <xf numFmtId="43" fontId="4" fillId="3" borderId="2" xfId="2" applyFont="1" applyFill="1" applyBorder="1" applyAlignment="1">
      <alignment horizontal="right" vertical="center" wrapText="1"/>
    </xf>
    <xf numFmtId="2" fontId="4" fillId="3" borderId="2" xfId="2" applyNumberFormat="1" applyFont="1" applyFill="1" applyBorder="1" applyAlignment="1">
      <alignment horizontal="center" vertical="center" wrapText="1"/>
    </xf>
    <xf numFmtId="1" fontId="4" fillId="3" borderId="2" xfId="1" applyNumberFormat="1" applyFont="1" applyFill="1" applyBorder="1" applyAlignment="1">
      <alignment horizontal="center" vertical="center" wrapText="1"/>
    </xf>
    <xf numFmtId="164" fontId="4" fillId="3" borderId="0" xfId="1" applyNumberFormat="1" applyFont="1" applyFill="1" applyAlignment="1">
      <alignment horizontal="right" vertical="center" wrapText="1"/>
    </xf>
    <xf numFmtId="165" fontId="4" fillId="0" borderId="0" xfId="1" applyNumberFormat="1" applyFont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 shrinkToFit="1"/>
    </xf>
    <xf numFmtId="0" fontId="4" fillId="3" borderId="1" xfId="1" applyFont="1" applyFill="1" applyBorder="1" applyAlignment="1">
      <alignment horizontal="center" vertical="center" wrapText="1" shrinkToFit="1"/>
    </xf>
    <xf numFmtId="43" fontId="4" fillId="5" borderId="1" xfId="2" applyFont="1" applyFill="1" applyBorder="1" applyAlignment="1">
      <alignment horizontal="center" vertical="center" wrapText="1"/>
    </xf>
    <xf numFmtId="2" fontId="4" fillId="5" borderId="1" xfId="2" applyNumberFormat="1" applyFont="1" applyFill="1" applyBorder="1" applyAlignment="1">
      <alignment horizontal="center" vertical="center" wrapText="1"/>
    </xf>
    <xf numFmtId="1" fontId="4" fillId="5" borderId="1" xfId="2" applyNumberFormat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shrinkToFit="1"/>
    </xf>
    <xf numFmtId="0" fontId="4" fillId="5" borderId="1" xfId="1" applyFont="1" applyFill="1" applyBorder="1" applyAlignment="1">
      <alignment horizontal="center" vertical="center" shrinkToFit="1"/>
    </xf>
    <xf numFmtId="164" fontId="4" fillId="5" borderId="1" xfId="1" applyNumberFormat="1" applyFont="1" applyFill="1" applyBorder="1" applyAlignment="1">
      <alignment horizontal="center" vertical="center" shrinkToFi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0" xfId="1" applyFont="1" applyFill="1" applyAlignment="1">
      <alignment horizontal="center" vertical="center" wrapText="1"/>
    </xf>
    <xf numFmtId="43" fontId="2" fillId="3" borderId="0" xfId="2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4" borderId="0" xfId="1" applyFont="1" applyFill="1" applyAlignment="1">
      <alignment horizontal="center" vertical="center"/>
    </xf>
    <xf numFmtId="164" fontId="2" fillId="3" borderId="0" xfId="1" applyNumberFormat="1" applyFont="1" applyFill="1" applyAlignment="1">
      <alignment horizontal="center" vertical="center"/>
    </xf>
    <xf numFmtId="0" fontId="2" fillId="5" borderId="0" xfId="1" applyFont="1" applyFill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 wrapText="1" shrinkToFit="1"/>
    </xf>
    <xf numFmtId="0" fontId="5" fillId="0" borderId="1" xfId="1" applyFont="1" applyBorder="1" applyAlignment="1">
      <alignment horizontal="left" vertical="center" wrapText="1"/>
    </xf>
    <xf numFmtId="0" fontId="5" fillId="3" borderId="1" xfId="3" applyFont="1" applyFill="1" applyBorder="1" applyAlignment="1">
      <alignment horizontal="center" vertical="center" shrinkToFit="1"/>
    </xf>
    <xf numFmtId="1" fontId="5" fillId="0" borderId="1" xfId="1" applyNumberFormat="1" applyFont="1" applyBorder="1" applyAlignment="1">
      <alignment horizontal="center" vertical="center" wrapText="1"/>
    </xf>
    <xf numFmtId="49" fontId="5" fillId="0" borderId="1" xfId="4" applyNumberFormat="1" applyFont="1" applyFill="1" applyBorder="1" applyAlignment="1">
      <alignment horizontal="center" vertical="center" wrapText="1"/>
    </xf>
    <xf numFmtId="43" fontId="5" fillId="0" borderId="1" xfId="2" applyFont="1" applyFill="1" applyBorder="1" applyAlignment="1">
      <alignment horizontal="center" vertical="center" wrapText="1"/>
    </xf>
    <xf numFmtId="2" fontId="5" fillId="0" borderId="1" xfId="2" applyNumberFormat="1" applyFont="1" applyFill="1" applyBorder="1" applyAlignment="1">
      <alignment horizontal="right" vertical="center" wrapText="1"/>
    </xf>
    <xf numFmtId="0" fontId="5" fillId="0" borderId="1" xfId="1" quotePrefix="1" applyFont="1" applyBorder="1" applyAlignment="1">
      <alignment horizontal="center" vertical="center" wrapText="1"/>
    </xf>
    <xf numFmtId="164" fontId="5" fillId="0" borderId="1" xfId="1" quotePrefix="1" applyNumberFormat="1" applyFont="1" applyBorder="1" applyAlignment="1">
      <alignment horizontal="center" vertical="center" wrapText="1"/>
    </xf>
    <xf numFmtId="0" fontId="5" fillId="3" borderId="1" xfId="5" applyFont="1" applyFill="1" applyBorder="1" applyAlignment="1">
      <alignment horizontal="center" vertical="center" wrapText="1"/>
    </xf>
    <xf numFmtId="43" fontId="5" fillId="3" borderId="0" xfId="4" applyFont="1" applyFill="1" applyBorder="1" applyAlignment="1">
      <alignment horizontal="center" vertical="center" wrapText="1"/>
    </xf>
    <xf numFmtId="43" fontId="8" fillId="0" borderId="0" xfId="2" applyFont="1" applyAlignment="1">
      <alignment vertical="center"/>
    </xf>
    <xf numFmtId="0" fontId="5" fillId="3" borderId="0" xfId="1" applyFont="1" applyFill="1" applyAlignment="1">
      <alignment vertical="center"/>
    </xf>
    <xf numFmtId="0" fontId="5" fillId="4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164" fontId="5" fillId="0" borderId="0" xfId="1" applyNumberFormat="1" applyFont="1" applyAlignment="1">
      <alignment vertical="center"/>
    </xf>
    <xf numFmtId="0" fontId="5" fillId="5" borderId="0" xfId="1" applyFont="1" applyFill="1" applyAlignment="1">
      <alignment vertical="center"/>
    </xf>
    <xf numFmtId="0" fontId="9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1" fontId="10" fillId="0" borderId="1" xfId="2" applyNumberFormat="1" applyFont="1" applyFill="1" applyBorder="1" applyAlignment="1">
      <alignment horizontal="center" vertical="center" wrapText="1"/>
    </xf>
    <xf numFmtId="43" fontId="10" fillId="0" borderId="1" xfId="2" applyFont="1" applyFill="1" applyBorder="1" applyAlignment="1">
      <alignment horizontal="center" vertical="center" wrapText="1"/>
    </xf>
    <xf numFmtId="2" fontId="10" fillId="0" borderId="1" xfId="2" applyNumberFormat="1" applyFont="1" applyFill="1" applyBorder="1" applyAlignment="1">
      <alignment horizontal="right" vertical="center" wrapText="1"/>
    </xf>
    <xf numFmtId="1" fontId="10" fillId="0" borderId="1" xfId="1" applyNumberFormat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43" fontId="5" fillId="0" borderId="0" xfId="2" applyFont="1" applyFill="1" applyAlignment="1">
      <alignment vertical="center"/>
    </xf>
    <xf numFmtId="0" fontId="11" fillId="4" borderId="0" xfId="1" applyFont="1" applyFill="1" applyAlignment="1">
      <alignment vertical="center" shrinkToFit="1"/>
    </xf>
    <xf numFmtId="0" fontId="11" fillId="3" borderId="0" xfId="1" applyFont="1" applyFill="1" applyAlignment="1">
      <alignment vertical="center" shrinkToFit="1"/>
    </xf>
    <xf numFmtId="164" fontId="11" fillId="3" borderId="0" xfId="1" applyNumberFormat="1" applyFont="1" applyFill="1" applyAlignment="1">
      <alignment vertical="center" shrinkToFit="1"/>
    </xf>
    <xf numFmtId="0" fontId="11" fillId="5" borderId="0" xfId="1" applyFont="1" applyFill="1" applyAlignment="1">
      <alignment vertical="center" shrinkToFit="1"/>
    </xf>
    <xf numFmtId="1" fontId="2" fillId="3" borderId="0" xfId="1" applyNumberFormat="1" applyFont="1" applyFill="1" applyAlignment="1">
      <alignment horizontal="center" vertical="center" wrapText="1"/>
    </xf>
    <xf numFmtId="1" fontId="2" fillId="3" borderId="0" xfId="1" applyNumberFormat="1" applyFont="1" applyFill="1" applyAlignment="1">
      <alignment horizontal="left" vertical="center" wrapText="1"/>
    </xf>
    <xf numFmtId="1" fontId="2" fillId="3" borderId="0" xfId="1" applyNumberFormat="1" applyFont="1" applyFill="1" applyAlignment="1">
      <alignment horizontal="center" vertical="center" wrapText="1" shrinkToFit="1"/>
    </xf>
    <xf numFmtId="0" fontId="10" fillId="0" borderId="3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</cellXfs>
  <cellStyles count="6">
    <cellStyle name="Comma 2" xfId="2" xr:uid="{8C4B5031-D0AD-433A-BF07-29C2FC5A8787}"/>
    <cellStyle name="Comma 3 2" xfId="4" xr:uid="{13DAA1C4-91B5-4631-895B-E6B70DB1D002}"/>
    <cellStyle name="Normal" xfId="0" builtinId="0"/>
    <cellStyle name="Normal 2" xfId="3" xr:uid="{538F823A-06E2-4896-9B45-F7A678B046C7}"/>
    <cellStyle name="Normal 3" xfId="1" xr:uid="{7088747D-41C2-4D22-974F-AC71979B8218}"/>
    <cellStyle name="Normal 4" xfId="5" xr:uid="{3077BCA0-208B-4A04-9D69-4BD57ECDBA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1127138</xdr:colOff>
      <xdr:row>78</xdr:row>
      <xdr:rowOff>43773</xdr:rowOff>
    </xdr:from>
    <xdr:to>
      <xdr:col>5</xdr:col>
      <xdr:colOff>1127138</xdr:colOff>
      <xdr:row>90</xdr:row>
      <xdr:rowOff>7205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9F730C-8D4C-46C7-8F09-D6B536165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08488" y="27913923"/>
          <a:ext cx="6020615" cy="2363732"/>
        </a:xfrm>
        <a:prstGeom prst="rect">
          <a:avLst/>
        </a:prstGeom>
      </xdr:spPr>
    </xdr:pic>
    <xdr:clientData/>
  </xdr:twoCellAnchor>
  <xdr:twoCellAnchor>
    <xdr:from>
      <xdr:col>18</xdr:col>
      <xdr:colOff>414619</xdr:colOff>
      <xdr:row>5</xdr:row>
      <xdr:rowOff>268941</xdr:rowOff>
    </xdr:from>
    <xdr:to>
      <xdr:col>21</xdr:col>
      <xdr:colOff>0</xdr:colOff>
      <xdr:row>5</xdr:row>
      <xdr:rowOff>840441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0BE7B881-1E0A-4D4B-9BD3-A53FD3F5AD92}"/>
            </a:ext>
          </a:extLst>
        </xdr:cNvPr>
        <xdr:cNvSpPr/>
      </xdr:nvSpPr>
      <xdr:spPr>
        <a:xfrm>
          <a:off x="15553766" y="2084294"/>
          <a:ext cx="2846293" cy="571500"/>
        </a:xfrm>
        <a:prstGeom prst="wedgeRectCallout">
          <a:avLst>
            <a:gd name="adj1" fmla="val -7841"/>
            <a:gd name="adj2" fmla="val -161554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ysClr val="windowText" lastClr="000000"/>
              </a:solidFill>
            </a:rPr>
            <a:t>Các</a:t>
          </a:r>
          <a:r>
            <a:rPr lang="en-US" sz="1100" baseline="0">
              <a:solidFill>
                <a:sysClr val="windowText" lastClr="000000"/>
              </a:solidFill>
            </a:rPr>
            <a:t> cột theo thư tự đã được đánh dấu trong file upload scrap list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0D2D-197F-43D7-A402-351E3DCBCFC8}">
  <dimension ref="A1:BC83"/>
  <sheetViews>
    <sheetView tabSelected="1" zoomScale="85" zoomScaleNormal="85" workbookViewId="0">
      <selection activeCell="S13" sqref="S13"/>
    </sheetView>
  </sheetViews>
  <sheetFormatPr defaultColWidth="0" defaultRowHeight="15.75"/>
  <cols>
    <col min="1" max="1" width="6.42578125" style="8" customWidth="1"/>
    <col min="2" max="2" width="11.85546875" style="9" customWidth="1"/>
    <col min="3" max="3" width="9.7109375" style="9" customWidth="1"/>
    <col min="4" max="4" width="7.28515625" style="9" customWidth="1"/>
    <col min="5" max="5" width="12.42578125" style="10" customWidth="1"/>
    <col min="6" max="6" width="22.7109375" style="11" customWidth="1"/>
    <col min="7" max="7" width="6.28515625" style="9" customWidth="1"/>
    <col min="8" max="8" width="6" style="13" customWidth="1"/>
    <col min="9" max="9" width="19.42578125" style="14" customWidth="1"/>
    <col min="10" max="10" width="13.7109375" style="14" customWidth="1"/>
    <col min="11" max="11" width="12.28515625" style="15" customWidth="1"/>
    <col min="12" max="12" width="14.5703125" style="15" customWidth="1"/>
    <col min="13" max="14" width="10.28515625" style="16" customWidth="1"/>
    <col min="15" max="15" width="13.42578125" style="17" customWidth="1"/>
    <col min="16" max="16" width="19" style="14" customWidth="1"/>
    <col min="17" max="17" width="19" style="10" customWidth="1"/>
    <col min="18" max="19" width="12.28515625" style="18" customWidth="1"/>
    <col min="20" max="20" width="20.140625" style="13" customWidth="1"/>
    <col min="21" max="21" width="16.42578125" style="13" customWidth="1"/>
    <col min="22" max="22" width="7.7109375" style="2" hidden="1" customWidth="1"/>
    <col min="23" max="23" width="7.7109375" style="3" hidden="1" customWidth="1"/>
    <col min="24" max="24" width="15" style="4" hidden="1" customWidth="1"/>
    <col min="25" max="25" width="8.85546875" style="3" hidden="1" customWidth="1"/>
    <col min="26" max="26" width="10.5703125" style="5" hidden="1" customWidth="1"/>
    <col min="27" max="37" width="8.85546875" style="3" hidden="1" customWidth="1"/>
    <col min="38" max="38" width="17.28515625" style="6" hidden="1" customWidth="1"/>
    <col min="39" max="39" width="8.85546875" style="3" hidden="1" customWidth="1"/>
    <col min="40" max="40" width="10.5703125" style="5" hidden="1" customWidth="1"/>
    <col min="41" max="55" width="8.85546875" style="3" hidden="1" customWidth="1"/>
    <col min="56" max="16384" width="8.85546875" style="7" hidden="1"/>
  </cols>
  <sheetData>
    <row r="1" spans="1:5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</row>
    <row r="2" spans="1:55">
      <c r="G2" s="12"/>
    </row>
    <row r="3" spans="1:55" ht="27">
      <c r="A3" s="83" t="s">
        <v>0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19"/>
    </row>
    <row r="4" spans="1:55">
      <c r="A4" s="20"/>
      <c r="B4" s="21"/>
      <c r="C4" s="21"/>
      <c r="D4" s="21"/>
      <c r="E4" s="22"/>
      <c r="F4" s="23"/>
      <c r="G4" s="24"/>
      <c r="H4" s="20"/>
      <c r="I4" s="25"/>
      <c r="J4" s="25"/>
      <c r="K4" s="26"/>
      <c r="L4" s="26"/>
      <c r="M4" s="27"/>
      <c r="N4" s="27"/>
      <c r="O4" s="28"/>
      <c r="P4" s="25"/>
      <c r="Q4" s="22"/>
      <c r="R4" s="29" t="s">
        <v>1</v>
      </c>
      <c r="S4" s="29"/>
      <c r="T4" s="30">
        <v>45946</v>
      </c>
      <c r="U4" s="30"/>
    </row>
    <row r="5" spans="1:55" s="9" customFormat="1" ht="68.25" customHeight="1">
      <c r="A5" s="31" t="s">
        <v>2</v>
      </c>
      <c r="B5" s="31" t="s">
        <v>3</v>
      </c>
      <c r="C5" s="32" t="s">
        <v>4</v>
      </c>
      <c r="D5" s="33" t="s">
        <v>5</v>
      </c>
      <c r="E5" s="33" t="s">
        <v>6</v>
      </c>
      <c r="F5" s="31" t="s">
        <v>7</v>
      </c>
      <c r="G5" s="31" t="s">
        <v>8</v>
      </c>
      <c r="H5" s="31" t="s">
        <v>9</v>
      </c>
      <c r="I5" s="31" t="s">
        <v>10</v>
      </c>
      <c r="J5" s="31" t="s">
        <v>11</v>
      </c>
      <c r="K5" s="34" t="s">
        <v>12</v>
      </c>
      <c r="L5" s="34" t="s">
        <v>13</v>
      </c>
      <c r="M5" s="35" t="s">
        <v>14</v>
      </c>
      <c r="N5" s="35" t="s">
        <v>15</v>
      </c>
      <c r="O5" s="36" t="s">
        <v>16</v>
      </c>
      <c r="P5" s="37" t="s">
        <v>17</v>
      </c>
      <c r="Q5" s="38" t="s">
        <v>18</v>
      </c>
      <c r="R5" s="39" t="s">
        <v>19</v>
      </c>
      <c r="S5" s="40" t="s">
        <v>20</v>
      </c>
      <c r="T5" s="31" t="s">
        <v>21</v>
      </c>
      <c r="U5" s="41" t="s">
        <v>22</v>
      </c>
      <c r="V5" s="42"/>
      <c r="W5" s="43"/>
      <c r="X5" s="44" t="s">
        <v>23</v>
      </c>
      <c r="Y5" s="43" t="s">
        <v>24</v>
      </c>
      <c r="Z5" s="45" t="s">
        <v>25</v>
      </c>
      <c r="AA5" s="43" t="s">
        <v>26</v>
      </c>
      <c r="AB5" s="43" t="s">
        <v>27</v>
      </c>
      <c r="AC5" s="43" t="s">
        <v>28</v>
      </c>
      <c r="AD5" s="43" t="s">
        <v>29</v>
      </c>
      <c r="AE5" s="43" t="s">
        <v>30</v>
      </c>
      <c r="AF5" s="43" t="s">
        <v>31</v>
      </c>
      <c r="AG5" s="43" t="s">
        <v>32</v>
      </c>
      <c r="AH5" s="43" t="s">
        <v>33</v>
      </c>
      <c r="AI5" s="43" t="s">
        <v>34</v>
      </c>
      <c r="AJ5" s="43" t="s">
        <v>35</v>
      </c>
      <c r="AK5" s="43" t="s">
        <v>36</v>
      </c>
      <c r="AL5" s="46" t="s">
        <v>37</v>
      </c>
      <c r="AM5" s="43" t="s">
        <v>38</v>
      </c>
      <c r="AN5" s="45" t="s">
        <v>39</v>
      </c>
      <c r="AO5" s="43" t="s">
        <v>40</v>
      </c>
      <c r="AP5" s="43" t="s">
        <v>41</v>
      </c>
      <c r="AQ5" s="43" t="s">
        <v>42</v>
      </c>
      <c r="AR5" s="43" t="s">
        <v>11</v>
      </c>
      <c r="AS5" s="43" t="s">
        <v>43</v>
      </c>
      <c r="AT5" s="43" t="s">
        <v>7</v>
      </c>
      <c r="AU5" s="43" t="s">
        <v>44</v>
      </c>
      <c r="AV5" s="43" t="s">
        <v>45</v>
      </c>
      <c r="AW5" s="43" t="s">
        <v>46</v>
      </c>
      <c r="AX5" s="43" t="s">
        <v>47</v>
      </c>
      <c r="AY5" s="43" t="s">
        <v>48</v>
      </c>
      <c r="AZ5" s="43" t="s">
        <v>49</v>
      </c>
      <c r="BA5" s="43" t="s">
        <v>15</v>
      </c>
      <c r="BB5" s="43" t="s">
        <v>50</v>
      </c>
      <c r="BC5" s="43" t="s">
        <v>51</v>
      </c>
    </row>
    <row r="6" spans="1:55" s="66" customFormat="1" ht="15">
      <c r="A6" s="47"/>
      <c r="B6" s="48"/>
      <c r="C6" s="47"/>
      <c r="D6" s="47"/>
      <c r="E6" s="47"/>
      <c r="F6" s="49"/>
      <c r="G6" s="50"/>
      <c r="H6" s="51"/>
      <c r="I6" s="52"/>
      <c r="J6" s="47"/>
      <c r="K6" s="53"/>
      <c r="L6" s="53"/>
      <c r="M6" s="54"/>
      <c r="N6" s="54"/>
      <c r="O6" s="51"/>
      <c r="P6" s="55"/>
      <c r="Q6" s="55"/>
      <c r="R6" s="56"/>
      <c r="S6" s="55"/>
      <c r="T6" s="57"/>
      <c r="U6" s="58"/>
      <c r="V6" s="59">
        <f t="shared" ref="V6:V10" si="0">IF(BA6="USD",AY6,IF(BA6="VND",AY6*0.00004,AY6*0.00714))</f>
        <v>1529.04</v>
      </c>
      <c r="W6" s="60" t="str">
        <f t="shared" ref="W6:W10" si="1">AL6&amp;AM6&amp;AT6&amp;AW6&amp;BC6</f>
        <v>244NDT11Bộ đếm tần số đo, kiểm tra lượng điện 53131A, gồm phụ kiện đi kèm: giấy chứng nhận hiệu chuẩn và sơ đồ dẫn chuẩn.102</v>
      </c>
      <c r="X6" s="61" t="s">
        <v>57</v>
      </c>
      <c r="Y6" s="62" t="s">
        <v>58</v>
      </c>
      <c r="Z6" s="63">
        <v>41730</v>
      </c>
      <c r="AA6" s="62" t="s">
        <v>59</v>
      </c>
      <c r="AB6" s="62" t="s">
        <v>54</v>
      </c>
      <c r="AC6" s="62" t="s">
        <v>60</v>
      </c>
      <c r="AD6" s="62" t="s">
        <v>61</v>
      </c>
      <c r="AE6" s="62">
        <v>1003012061</v>
      </c>
      <c r="AF6" s="62" t="s">
        <v>62</v>
      </c>
      <c r="AG6" s="62" t="s">
        <v>63</v>
      </c>
      <c r="AH6" s="62" t="s">
        <v>64</v>
      </c>
      <c r="AI6" s="62" t="s">
        <v>52</v>
      </c>
      <c r="AJ6" s="62" t="s">
        <v>65</v>
      </c>
      <c r="AK6" s="62" t="s">
        <v>52</v>
      </c>
      <c r="AL6" s="64">
        <v>244</v>
      </c>
      <c r="AM6" s="62" t="s">
        <v>66</v>
      </c>
      <c r="AN6" s="63">
        <v>41727</v>
      </c>
      <c r="AO6" s="62" t="s">
        <v>56</v>
      </c>
      <c r="AP6" s="62" t="s">
        <v>67</v>
      </c>
      <c r="AQ6" s="62" t="s">
        <v>68</v>
      </c>
      <c r="AR6" s="62" t="s">
        <v>55</v>
      </c>
      <c r="AS6" s="62">
        <v>0</v>
      </c>
      <c r="AT6" s="62" t="s">
        <v>69</v>
      </c>
      <c r="AU6" s="62" t="s">
        <v>59</v>
      </c>
      <c r="AV6" s="60" t="s">
        <v>70</v>
      </c>
      <c r="AW6" s="65">
        <v>10</v>
      </c>
      <c r="AX6" s="62" t="s">
        <v>53</v>
      </c>
      <c r="AY6" s="62">
        <v>1529.04</v>
      </c>
      <c r="AZ6" s="62">
        <v>15290.4</v>
      </c>
      <c r="BA6" s="62" t="s">
        <v>71</v>
      </c>
      <c r="BB6" s="62">
        <v>90308990</v>
      </c>
      <c r="BC6" s="62">
        <v>2</v>
      </c>
    </row>
    <row r="7" spans="1:55" s="66" customFormat="1" ht="15">
      <c r="A7" s="47"/>
      <c r="B7" s="48"/>
      <c r="C7" s="47"/>
      <c r="D7" s="47"/>
      <c r="E7" s="47"/>
      <c r="F7" s="49"/>
      <c r="G7" s="50"/>
      <c r="H7" s="51"/>
      <c r="I7" s="52"/>
      <c r="J7" s="47"/>
      <c r="K7" s="53"/>
      <c r="L7" s="53"/>
      <c r="M7" s="54"/>
      <c r="N7" s="54"/>
      <c r="O7" s="51"/>
      <c r="P7" s="55"/>
      <c r="Q7" s="55"/>
      <c r="R7" s="56"/>
      <c r="S7" s="55"/>
      <c r="T7" s="57"/>
      <c r="U7" s="58"/>
      <c r="V7" s="59">
        <f t="shared" si="0"/>
        <v>4470</v>
      </c>
      <c r="W7" s="60" t="str">
        <f t="shared" si="1"/>
        <v>630NTA12Bộ đếm tần số đo, kiểm tra lượng điện, Model: 53131A, điện áp đầu vào: 100V.12</v>
      </c>
      <c r="X7" s="61" t="s">
        <v>57</v>
      </c>
      <c r="Y7" s="62" t="s">
        <v>58</v>
      </c>
      <c r="Z7" s="63">
        <v>39512</v>
      </c>
      <c r="AA7" s="62" t="s">
        <v>59</v>
      </c>
      <c r="AB7" s="62" t="s">
        <v>54</v>
      </c>
      <c r="AC7" s="62" t="s">
        <v>60</v>
      </c>
      <c r="AD7" s="62" t="s">
        <v>74</v>
      </c>
      <c r="AE7" s="62">
        <v>1003002074</v>
      </c>
      <c r="AF7" s="62" t="s">
        <v>62</v>
      </c>
      <c r="AG7" s="62" t="s">
        <v>63</v>
      </c>
      <c r="AH7" s="62" t="s">
        <v>75</v>
      </c>
      <c r="AI7" s="62" t="s">
        <v>52</v>
      </c>
      <c r="AJ7" s="62" t="s">
        <v>65</v>
      </c>
      <c r="AK7" s="62" t="s">
        <v>52</v>
      </c>
      <c r="AL7" s="64">
        <v>630</v>
      </c>
      <c r="AM7" s="62" t="s">
        <v>76</v>
      </c>
      <c r="AN7" s="63">
        <v>39512</v>
      </c>
      <c r="AO7" s="62" t="s">
        <v>73</v>
      </c>
      <c r="AP7" s="62" t="s">
        <v>77</v>
      </c>
      <c r="AQ7" s="62" t="s">
        <v>52</v>
      </c>
      <c r="AR7" s="62" t="s">
        <v>72</v>
      </c>
      <c r="AS7" s="62">
        <v>0</v>
      </c>
      <c r="AT7" s="62" t="s">
        <v>78</v>
      </c>
      <c r="AU7" s="62" t="s">
        <v>59</v>
      </c>
      <c r="AV7" s="60">
        <v>0</v>
      </c>
      <c r="AW7" s="65">
        <v>1</v>
      </c>
      <c r="AX7" s="62" t="s">
        <v>53</v>
      </c>
      <c r="AY7" s="62">
        <v>4470</v>
      </c>
      <c r="AZ7" s="62">
        <v>4470</v>
      </c>
      <c r="BA7" s="62" t="s">
        <v>71</v>
      </c>
      <c r="BB7" s="62">
        <v>0</v>
      </c>
      <c r="BC7" s="62">
        <v>2</v>
      </c>
    </row>
    <row r="8" spans="1:55" s="66" customFormat="1" ht="15">
      <c r="A8" s="47"/>
      <c r="B8" s="48"/>
      <c r="C8" s="47"/>
      <c r="D8" s="47"/>
      <c r="E8" s="47"/>
      <c r="F8" s="49"/>
      <c r="G8" s="47"/>
      <c r="H8" s="51"/>
      <c r="I8" s="47"/>
      <c r="J8" s="47"/>
      <c r="K8" s="53"/>
      <c r="L8" s="53"/>
      <c r="M8" s="54"/>
      <c r="N8" s="54"/>
      <c r="O8" s="47"/>
      <c r="P8" s="55"/>
      <c r="Q8" s="55"/>
      <c r="R8" s="56"/>
      <c r="S8" s="55"/>
      <c r="T8" s="57"/>
      <c r="U8" s="58"/>
      <c r="V8" s="59">
        <f t="shared" si="0"/>
        <v>3440.25</v>
      </c>
      <c r="W8" s="60" t="str">
        <f t="shared" si="1"/>
        <v>100078664232E13Máy đo tần số dòng điện 100 VAC - 240 VAC. Hàng mới 100%21</v>
      </c>
      <c r="X8" s="61" t="s">
        <v>57</v>
      </c>
      <c r="Y8" s="62" t="s">
        <v>58</v>
      </c>
      <c r="Z8" s="63">
        <v>41849</v>
      </c>
      <c r="AA8" s="62" t="s">
        <v>59</v>
      </c>
      <c r="AB8" s="62" t="s">
        <v>80</v>
      </c>
      <c r="AC8" s="62" t="s">
        <v>60</v>
      </c>
      <c r="AD8" s="62" t="s">
        <v>83</v>
      </c>
      <c r="AE8" s="62">
        <v>1003012054</v>
      </c>
      <c r="AF8" s="62" t="s">
        <v>62</v>
      </c>
      <c r="AG8" s="62" t="s">
        <v>63</v>
      </c>
      <c r="AH8" s="62" t="s">
        <v>75</v>
      </c>
      <c r="AI8" s="62" t="s">
        <v>52</v>
      </c>
      <c r="AJ8" s="62" t="s">
        <v>65</v>
      </c>
      <c r="AK8" s="62" t="s">
        <v>52</v>
      </c>
      <c r="AL8" s="64">
        <v>100078664232</v>
      </c>
      <c r="AM8" s="62" t="s">
        <v>84</v>
      </c>
      <c r="AN8" s="63">
        <v>41844</v>
      </c>
      <c r="AO8" s="62" t="s">
        <v>82</v>
      </c>
      <c r="AP8" s="62" t="s">
        <v>85</v>
      </c>
      <c r="AQ8" s="62" t="s">
        <v>86</v>
      </c>
      <c r="AR8" s="62" t="s">
        <v>81</v>
      </c>
      <c r="AS8" s="62">
        <v>0</v>
      </c>
      <c r="AT8" s="62" t="s">
        <v>87</v>
      </c>
      <c r="AU8" s="62" t="s">
        <v>59</v>
      </c>
      <c r="AV8" s="60" t="s">
        <v>88</v>
      </c>
      <c r="AW8" s="65">
        <v>2</v>
      </c>
      <c r="AX8" s="62" t="s">
        <v>79</v>
      </c>
      <c r="AY8" s="62">
        <v>3440.25</v>
      </c>
      <c r="AZ8" s="62">
        <v>6880.5</v>
      </c>
      <c r="BA8" s="62" t="s">
        <v>71</v>
      </c>
      <c r="BB8" s="62">
        <v>90303390</v>
      </c>
      <c r="BC8" s="62">
        <v>1</v>
      </c>
    </row>
    <row r="9" spans="1:55" s="66" customFormat="1" ht="15">
      <c r="A9" s="47"/>
      <c r="B9" s="48"/>
      <c r="C9" s="47"/>
      <c r="D9" s="47"/>
      <c r="E9" s="47"/>
      <c r="F9" s="49"/>
      <c r="G9" s="47"/>
      <c r="H9" s="51"/>
      <c r="I9" s="47"/>
      <c r="J9" s="47"/>
      <c r="K9" s="53"/>
      <c r="L9" s="53"/>
      <c r="M9" s="54"/>
      <c r="N9" s="54"/>
      <c r="O9" s="47"/>
      <c r="P9" s="55"/>
      <c r="Q9" s="55"/>
      <c r="R9" s="56"/>
      <c r="S9" s="55"/>
      <c r="T9" s="57"/>
      <c r="U9" s="58"/>
      <c r="V9" s="59">
        <f t="shared" si="0"/>
        <v>1529.04</v>
      </c>
      <c r="W9" s="60" t="str">
        <f t="shared" si="1"/>
        <v>244NDT11Bộ đếm tần số đo, kiểm tra lượng điện 53131A, gồm phụ kiện đi kèm: giấy chứng nhận hiệu chuẩn và sơ đồ dẫn chuẩn.102</v>
      </c>
      <c r="X9" s="61" t="s">
        <v>57</v>
      </c>
      <c r="Y9" s="62" t="s">
        <v>58</v>
      </c>
      <c r="Z9" s="63">
        <v>41730</v>
      </c>
      <c r="AA9" s="62" t="s">
        <v>59</v>
      </c>
      <c r="AB9" s="62" t="s">
        <v>54</v>
      </c>
      <c r="AC9" s="62" t="s">
        <v>60</v>
      </c>
      <c r="AD9" s="62" t="s">
        <v>89</v>
      </c>
      <c r="AE9" s="62">
        <v>1003012067</v>
      </c>
      <c r="AF9" s="62" t="s">
        <v>90</v>
      </c>
      <c r="AG9" s="62" t="s">
        <v>63</v>
      </c>
      <c r="AH9" s="62" t="s">
        <v>91</v>
      </c>
      <c r="AI9" s="62" t="s">
        <v>52</v>
      </c>
      <c r="AJ9" s="62" t="s">
        <v>65</v>
      </c>
      <c r="AK9" s="62" t="s">
        <v>92</v>
      </c>
      <c r="AL9" s="64">
        <v>244</v>
      </c>
      <c r="AM9" s="62" t="s">
        <v>66</v>
      </c>
      <c r="AN9" s="63">
        <v>41727</v>
      </c>
      <c r="AO9" s="62" t="s">
        <v>56</v>
      </c>
      <c r="AP9" s="62" t="s">
        <v>67</v>
      </c>
      <c r="AQ9" s="62" t="s">
        <v>68</v>
      </c>
      <c r="AR9" s="62" t="s">
        <v>55</v>
      </c>
      <c r="AS9" s="62">
        <v>0</v>
      </c>
      <c r="AT9" s="62" t="s">
        <v>69</v>
      </c>
      <c r="AU9" s="62" t="s">
        <v>59</v>
      </c>
      <c r="AV9" s="60" t="s">
        <v>70</v>
      </c>
      <c r="AW9" s="65">
        <v>10</v>
      </c>
      <c r="AX9" s="62" t="s">
        <v>53</v>
      </c>
      <c r="AY9" s="62">
        <v>1529.04</v>
      </c>
      <c r="AZ9" s="62">
        <v>15290.4</v>
      </c>
      <c r="BA9" s="62" t="s">
        <v>71</v>
      </c>
      <c r="BB9" s="62">
        <v>90308990</v>
      </c>
      <c r="BC9" s="62">
        <v>2</v>
      </c>
    </row>
    <row r="10" spans="1:55" s="66" customFormat="1" ht="15">
      <c r="A10" s="47"/>
      <c r="B10" s="48"/>
      <c r="C10" s="47"/>
      <c r="D10" s="47"/>
      <c r="E10" s="47"/>
      <c r="F10" s="49"/>
      <c r="G10" s="47"/>
      <c r="H10" s="51"/>
      <c r="I10" s="47"/>
      <c r="J10" s="47"/>
      <c r="K10" s="53"/>
      <c r="L10" s="53"/>
      <c r="M10" s="54"/>
      <c r="N10" s="54"/>
      <c r="O10" s="47"/>
      <c r="P10" s="55"/>
      <c r="Q10" s="55"/>
      <c r="R10" s="56"/>
      <c r="S10" s="55"/>
      <c r="T10" s="57"/>
      <c r="U10" s="58"/>
      <c r="V10" s="59">
        <f t="shared" si="0"/>
        <v>1700</v>
      </c>
      <c r="W10" s="60" t="str">
        <f t="shared" si="1"/>
        <v>103229186060E13Thiết bị đo điệp áp cao, điện áp: 100VAC, 50/60Hz, Model: 149-10A, Hãng sản xuất: Kikusui, Hàng mới 100%13</v>
      </c>
      <c r="X10" s="61" t="s">
        <v>57</v>
      </c>
      <c r="Y10" s="62" t="s">
        <v>58</v>
      </c>
      <c r="Z10" s="63">
        <v>43917</v>
      </c>
      <c r="AA10" s="62" t="s">
        <v>95</v>
      </c>
      <c r="AB10" s="62" t="s">
        <v>93</v>
      </c>
      <c r="AC10" s="62" t="s">
        <v>96</v>
      </c>
      <c r="AD10" s="62" t="s">
        <v>97</v>
      </c>
      <c r="AE10" s="62">
        <v>1003013388</v>
      </c>
      <c r="AF10" s="62" t="s">
        <v>98</v>
      </c>
      <c r="AG10" s="62" t="s">
        <v>63</v>
      </c>
      <c r="AH10" s="62" t="s">
        <v>99</v>
      </c>
      <c r="AI10" s="62" t="s">
        <v>52</v>
      </c>
      <c r="AJ10" s="62" t="s">
        <v>52</v>
      </c>
      <c r="AK10" s="62" t="s">
        <v>52</v>
      </c>
      <c r="AL10" s="64">
        <v>103229186060</v>
      </c>
      <c r="AM10" s="62" t="s">
        <v>84</v>
      </c>
      <c r="AN10" s="63">
        <v>43918</v>
      </c>
      <c r="AO10" s="62">
        <v>612</v>
      </c>
      <c r="AP10" s="62">
        <v>4040001491</v>
      </c>
      <c r="AQ10" s="62">
        <v>112000006873819</v>
      </c>
      <c r="AR10" s="62" t="s">
        <v>94</v>
      </c>
      <c r="AS10" s="62" t="s">
        <v>93</v>
      </c>
      <c r="AT10" s="62" t="s">
        <v>100</v>
      </c>
      <c r="AU10" s="62" t="s">
        <v>95</v>
      </c>
      <c r="AV10" s="60" t="s">
        <v>101</v>
      </c>
      <c r="AW10" s="65">
        <v>1</v>
      </c>
      <c r="AX10" s="62" t="s">
        <v>79</v>
      </c>
      <c r="AY10" s="62">
        <v>1700</v>
      </c>
      <c r="AZ10" s="62">
        <v>1700</v>
      </c>
      <c r="BA10" s="62" t="s">
        <v>71</v>
      </c>
      <c r="BB10" s="62">
        <v>90303390</v>
      </c>
      <c r="BC10" s="62">
        <v>3</v>
      </c>
    </row>
    <row r="11" spans="1:55" s="66" customFormat="1" ht="15">
      <c r="A11" s="47"/>
      <c r="B11" s="48"/>
      <c r="C11" s="47"/>
      <c r="D11" s="47"/>
      <c r="E11" s="47"/>
      <c r="F11" s="49"/>
      <c r="G11" s="47"/>
      <c r="H11" s="51"/>
      <c r="I11" s="47"/>
      <c r="J11" s="47"/>
      <c r="K11" s="53"/>
      <c r="L11" s="53"/>
      <c r="M11" s="54"/>
      <c r="N11" s="54"/>
      <c r="O11" s="47"/>
      <c r="P11" s="55"/>
      <c r="Q11" s="55"/>
      <c r="R11" s="56"/>
      <c r="S11" s="55"/>
      <c r="T11" s="57"/>
      <c r="U11" s="58"/>
      <c r="V11" s="59"/>
      <c r="W11" s="60"/>
      <c r="X11" s="61"/>
      <c r="Y11" s="62"/>
      <c r="Z11" s="63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4"/>
      <c r="AM11" s="62"/>
      <c r="AN11" s="63"/>
      <c r="AO11" s="62"/>
      <c r="AP11" s="62"/>
      <c r="AQ11" s="62"/>
      <c r="AR11" s="62"/>
      <c r="AS11" s="62"/>
      <c r="AT11" s="62"/>
      <c r="AU11" s="62"/>
      <c r="AV11" s="60"/>
      <c r="AW11" s="65"/>
      <c r="AX11" s="62"/>
      <c r="AY11" s="62"/>
      <c r="AZ11" s="62"/>
      <c r="BA11" s="62"/>
      <c r="BB11" s="62"/>
      <c r="BC11" s="62"/>
    </row>
    <row r="12" spans="1:55" s="66" customFormat="1" ht="15">
      <c r="A12" s="47"/>
      <c r="B12" s="48"/>
      <c r="C12" s="47"/>
      <c r="D12" s="47"/>
      <c r="E12" s="47"/>
      <c r="F12" s="49"/>
      <c r="G12" s="47"/>
      <c r="H12" s="51"/>
      <c r="I12" s="47"/>
      <c r="J12" s="47"/>
      <c r="K12" s="53"/>
      <c r="L12" s="53"/>
      <c r="M12" s="54"/>
      <c r="N12" s="54"/>
      <c r="O12" s="47"/>
      <c r="P12" s="55"/>
      <c r="Q12" s="55"/>
      <c r="R12" s="56"/>
      <c r="S12" s="55"/>
      <c r="T12" s="57"/>
      <c r="U12" s="58"/>
      <c r="V12" s="59"/>
      <c r="W12" s="60"/>
      <c r="X12" s="61"/>
      <c r="Y12" s="62"/>
      <c r="Z12" s="63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4"/>
      <c r="AM12" s="62"/>
      <c r="AN12" s="63"/>
      <c r="AO12" s="62"/>
      <c r="AP12" s="62"/>
      <c r="AQ12" s="62"/>
      <c r="AR12" s="62"/>
      <c r="AS12" s="62"/>
      <c r="AT12" s="62"/>
      <c r="AU12" s="62"/>
      <c r="AV12" s="60"/>
      <c r="AW12" s="65"/>
      <c r="AX12" s="62"/>
      <c r="AY12" s="62"/>
      <c r="AZ12" s="62"/>
      <c r="BA12" s="62"/>
      <c r="BB12" s="62"/>
      <c r="BC12" s="62"/>
    </row>
    <row r="13" spans="1:55" s="66" customFormat="1" ht="15">
      <c r="A13" s="47"/>
      <c r="B13" s="48"/>
      <c r="C13" s="47"/>
      <c r="D13" s="47"/>
      <c r="E13" s="47"/>
      <c r="F13" s="49"/>
      <c r="G13" s="47"/>
      <c r="H13" s="51"/>
      <c r="I13" s="47"/>
      <c r="J13" s="47"/>
      <c r="K13" s="53"/>
      <c r="L13" s="53"/>
      <c r="M13" s="54"/>
      <c r="N13" s="54"/>
      <c r="O13" s="47"/>
      <c r="P13" s="55"/>
      <c r="Q13" s="55"/>
      <c r="R13" s="56"/>
      <c r="S13" s="55"/>
      <c r="T13" s="57"/>
      <c r="U13" s="58"/>
      <c r="V13" s="59"/>
      <c r="W13" s="60"/>
      <c r="X13" s="61"/>
      <c r="Y13" s="62"/>
      <c r="Z13" s="63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4"/>
      <c r="AM13" s="62"/>
      <c r="AN13" s="63"/>
      <c r="AO13" s="62"/>
      <c r="AP13" s="62"/>
      <c r="AQ13" s="62"/>
      <c r="AR13" s="62"/>
      <c r="AS13" s="62"/>
      <c r="AT13" s="62"/>
      <c r="AU13" s="62"/>
      <c r="AV13" s="60"/>
      <c r="AW13" s="65"/>
      <c r="AX13" s="62"/>
      <c r="AY13" s="62"/>
      <c r="AZ13" s="62"/>
      <c r="BA13" s="62"/>
      <c r="BB13" s="62"/>
      <c r="BC13" s="62"/>
    </row>
    <row r="14" spans="1:55" s="66" customFormat="1" ht="15">
      <c r="A14" s="47"/>
      <c r="B14" s="48"/>
      <c r="C14" s="47"/>
      <c r="D14" s="47"/>
      <c r="E14" s="47"/>
      <c r="F14" s="49"/>
      <c r="G14" s="47"/>
      <c r="H14" s="51"/>
      <c r="I14" s="47"/>
      <c r="J14" s="47"/>
      <c r="K14" s="53"/>
      <c r="L14" s="53"/>
      <c r="M14" s="54"/>
      <c r="N14" s="54"/>
      <c r="O14" s="47"/>
      <c r="P14" s="55"/>
      <c r="Q14" s="55"/>
      <c r="R14" s="56"/>
      <c r="S14" s="55"/>
      <c r="T14" s="57"/>
      <c r="U14" s="58"/>
      <c r="V14" s="59"/>
      <c r="W14" s="60"/>
      <c r="X14" s="61"/>
      <c r="Y14" s="62"/>
      <c r="Z14" s="63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4"/>
      <c r="AM14" s="62"/>
      <c r="AN14" s="63"/>
      <c r="AO14" s="62"/>
      <c r="AP14" s="62"/>
      <c r="AQ14" s="62"/>
      <c r="AR14" s="62"/>
      <c r="AS14" s="62"/>
      <c r="AT14" s="62"/>
      <c r="AU14" s="62"/>
      <c r="AV14" s="60"/>
      <c r="AW14" s="65"/>
      <c r="AX14" s="62"/>
      <c r="AY14" s="62"/>
      <c r="AZ14" s="62"/>
      <c r="BA14" s="62"/>
      <c r="BB14" s="62"/>
      <c r="BC14" s="62"/>
    </row>
    <row r="15" spans="1:55" s="66" customFormat="1" ht="15">
      <c r="A15" s="47"/>
      <c r="B15" s="48"/>
      <c r="C15" s="47"/>
      <c r="D15" s="47"/>
      <c r="E15" s="47"/>
      <c r="F15" s="49"/>
      <c r="G15" s="47"/>
      <c r="H15" s="51"/>
      <c r="I15" s="47"/>
      <c r="J15" s="47"/>
      <c r="K15" s="53"/>
      <c r="L15" s="53"/>
      <c r="M15" s="54"/>
      <c r="N15" s="54"/>
      <c r="O15" s="47"/>
      <c r="P15" s="55"/>
      <c r="Q15" s="55"/>
      <c r="R15" s="56"/>
      <c r="S15" s="55"/>
      <c r="T15" s="57"/>
      <c r="U15" s="58"/>
      <c r="V15" s="59"/>
      <c r="W15" s="60"/>
      <c r="X15" s="61"/>
      <c r="Y15" s="62"/>
      <c r="Z15" s="63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4"/>
      <c r="AM15" s="62"/>
      <c r="AN15" s="63"/>
      <c r="AO15" s="62"/>
      <c r="AP15" s="62"/>
      <c r="AQ15" s="62"/>
      <c r="AR15" s="62"/>
      <c r="AS15" s="62"/>
      <c r="AT15" s="62"/>
      <c r="AU15" s="62"/>
      <c r="AV15" s="60"/>
      <c r="AW15" s="65"/>
      <c r="AX15" s="62"/>
      <c r="AY15" s="62"/>
      <c r="AZ15" s="62"/>
      <c r="BA15" s="62"/>
      <c r="BB15" s="62"/>
      <c r="BC15" s="62"/>
    </row>
    <row r="16" spans="1:55" s="66" customFormat="1" ht="15">
      <c r="A16" s="47"/>
      <c r="B16" s="48"/>
      <c r="C16" s="47"/>
      <c r="D16" s="47"/>
      <c r="E16" s="47"/>
      <c r="F16" s="49"/>
      <c r="G16" s="47"/>
      <c r="H16" s="51"/>
      <c r="I16" s="47"/>
      <c r="J16" s="47"/>
      <c r="K16" s="53"/>
      <c r="L16" s="53"/>
      <c r="M16" s="54"/>
      <c r="N16" s="54"/>
      <c r="O16" s="47"/>
      <c r="P16" s="55"/>
      <c r="Q16" s="55"/>
      <c r="R16" s="56"/>
      <c r="S16" s="55"/>
      <c r="T16" s="57"/>
      <c r="U16" s="58"/>
      <c r="V16" s="59"/>
      <c r="W16" s="60"/>
      <c r="X16" s="61"/>
      <c r="Y16" s="62"/>
      <c r="Z16" s="63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4"/>
      <c r="AM16" s="62"/>
      <c r="AN16" s="63"/>
      <c r="AO16" s="62"/>
      <c r="AP16" s="62"/>
      <c r="AQ16" s="62"/>
      <c r="AR16" s="62"/>
      <c r="AS16" s="62"/>
      <c r="AT16" s="62"/>
      <c r="AU16" s="62"/>
      <c r="AV16" s="60"/>
      <c r="AW16" s="65"/>
      <c r="AX16" s="62"/>
      <c r="AY16" s="62"/>
      <c r="AZ16" s="62"/>
      <c r="BA16" s="62"/>
      <c r="BB16" s="62"/>
      <c r="BC16" s="62"/>
    </row>
    <row r="17" spans="1:55" s="66" customFormat="1" ht="15">
      <c r="A17" s="47"/>
      <c r="B17" s="48"/>
      <c r="C17" s="47"/>
      <c r="D17" s="47"/>
      <c r="E17" s="47"/>
      <c r="F17" s="49"/>
      <c r="G17" s="47"/>
      <c r="H17" s="51"/>
      <c r="I17" s="47"/>
      <c r="J17" s="47"/>
      <c r="K17" s="53"/>
      <c r="L17" s="53"/>
      <c r="M17" s="54"/>
      <c r="N17" s="54"/>
      <c r="O17" s="47"/>
      <c r="P17" s="55"/>
      <c r="Q17" s="55"/>
      <c r="R17" s="56"/>
      <c r="S17" s="55"/>
      <c r="T17" s="57"/>
      <c r="U17" s="58"/>
      <c r="V17" s="59"/>
      <c r="W17" s="60"/>
      <c r="X17" s="61"/>
      <c r="Y17" s="62"/>
      <c r="Z17" s="63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4"/>
      <c r="AM17" s="62"/>
      <c r="AN17" s="63"/>
      <c r="AO17" s="62"/>
      <c r="AP17" s="62"/>
      <c r="AQ17" s="62"/>
      <c r="AR17" s="62"/>
      <c r="AS17" s="62"/>
      <c r="AT17" s="62"/>
      <c r="AU17" s="62"/>
      <c r="AV17" s="60"/>
      <c r="AW17" s="65"/>
      <c r="AX17" s="62"/>
      <c r="AY17" s="62"/>
      <c r="AZ17" s="62"/>
      <c r="BA17" s="62"/>
      <c r="BB17" s="62"/>
      <c r="BC17" s="62"/>
    </row>
    <row r="18" spans="1:55" s="66" customFormat="1" ht="15">
      <c r="A18" s="47"/>
      <c r="B18" s="48"/>
      <c r="C18" s="47"/>
      <c r="D18" s="47"/>
      <c r="E18" s="47"/>
      <c r="F18" s="49"/>
      <c r="G18" s="47"/>
      <c r="H18" s="51"/>
      <c r="I18" s="47"/>
      <c r="J18" s="47"/>
      <c r="K18" s="53"/>
      <c r="L18" s="53"/>
      <c r="M18" s="54"/>
      <c r="N18" s="54"/>
      <c r="O18" s="47"/>
      <c r="P18" s="55"/>
      <c r="Q18" s="55"/>
      <c r="R18" s="56"/>
      <c r="S18" s="55"/>
      <c r="T18" s="57"/>
      <c r="U18" s="58"/>
      <c r="V18" s="59"/>
      <c r="W18" s="60"/>
      <c r="X18" s="61"/>
      <c r="Y18" s="62"/>
      <c r="Z18" s="63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4"/>
      <c r="AM18" s="62"/>
      <c r="AN18" s="63"/>
      <c r="AO18" s="62"/>
      <c r="AP18" s="62"/>
      <c r="AQ18" s="62"/>
      <c r="AR18" s="62"/>
      <c r="AS18" s="62"/>
      <c r="AT18" s="62"/>
      <c r="AU18" s="62"/>
      <c r="AV18" s="60"/>
      <c r="AW18" s="65"/>
      <c r="AX18" s="62"/>
      <c r="AY18" s="62"/>
      <c r="AZ18" s="62"/>
      <c r="BA18" s="62"/>
      <c r="BB18" s="62"/>
      <c r="BC18" s="62"/>
    </row>
    <row r="19" spans="1:55" s="66" customFormat="1" ht="15">
      <c r="A19" s="47"/>
      <c r="B19" s="48"/>
      <c r="C19" s="47"/>
      <c r="D19" s="47"/>
      <c r="E19" s="47"/>
      <c r="F19" s="49"/>
      <c r="G19" s="47"/>
      <c r="H19" s="51"/>
      <c r="I19" s="47"/>
      <c r="J19" s="47"/>
      <c r="K19" s="53"/>
      <c r="L19" s="53"/>
      <c r="M19" s="54"/>
      <c r="N19" s="54"/>
      <c r="O19" s="47"/>
      <c r="P19" s="55"/>
      <c r="Q19" s="55"/>
      <c r="R19" s="56"/>
      <c r="S19" s="55"/>
      <c r="T19" s="57"/>
      <c r="U19" s="58"/>
      <c r="V19" s="59"/>
      <c r="W19" s="60"/>
      <c r="X19" s="61"/>
      <c r="Y19" s="62"/>
      <c r="Z19" s="63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4"/>
      <c r="AM19" s="62"/>
      <c r="AN19" s="63"/>
      <c r="AO19" s="62"/>
      <c r="AP19" s="62"/>
      <c r="AQ19" s="62"/>
      <c r="AR19" s="62"/>
      <c r="AS19" s="62"/>
      <c r="AT19" s="62"/>
      <c r="AU19" s="62"/>
      <c r="AV19" s="60"/>
      <c r="AW19" s="65"/>
      <c r="AX19" s="62"/>
      <c r="AY19" s="62"/>
      <c r="AZ19" s="62"/>
      <c r="BA19" s="62"/>
      <c r="BB19" s="62"/>
      <c r="BC19" s="62"/>
    </row>
    <row r="20" spans="1:55" s="66" customFormat="1" ht="15">
      <c r="A20" s="47"/>
      <c r="B20" s="48"/>
      <c r="C20" s="47"/>
      <c r="D20" s="47"/>
      <c r="E20" s="47"/>
      <c r="F20" s="49"/>
      <c r="G20" s="47"/>
      <c r="H20" s="51"/>
      <c r="I20" s="47"/>
      <c r="J20" s="47"/>
      <c r="K20" s="53"/>
      <c r="L20" s="53"/>
      <c r="M20" s="54"/>
      <c r="N20" s="54"/>
      <c r="O20" s="47"/>
      <c r="P20" s="55"/>
      <c r="Q20" s="55"/>
      <c r="R20" s="56"/>
      <c r="S20" s="55"/>
      <c r="T20" s="57"/>
      <c r="U20" s="58"/>
      <c r="V20" s="59"/>
      <c r="W20" s="60"/>
      <c r="X20" s="61"/>
      <c r="Y20" s="62"/>
      <c r="Z20" s="63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4"/>
      <c r="AM20" s="62"/>
      <c r="AN20" s="63"/>
      <c r="AO20" s="62"/>
      <c r="AP20" s="62"/>
      <c r="AQ20" s="62"/>
      <c r="AR20" s="62"/>
      <c r="AS20" s="62"/>
      <c r="AT20" s="62"/>
      <c r="AU20" s="62"/>
      <c r="AV20" s="60"/>
      <c r="AW20" s="65"/>
      <c r="AX20" s="62"/>
      <c r="AY20" s="62"/>
      <c r="AZ20" s="62"/>
      <c r="BA20" s="62"/>
      <c r="BB20" s="62"/>
      <c r="BC20" s="62"/>
    </row>
    <row r="21" spans="1:55" s="66" customFormat="1" ht="15">
      <c r="A21" s="47"/>
      <c r="B21" s="48"/>
      <c r="C21" s="47"/>
      <c r="D21" s="47"/>
      <c r="E21" s="47"/>
      <c r="F21" s="49"/>
      <c r="G21" s="47"/>
      <c r="H21" s="51"/>
      <c r="I21" s="47"/>
      <c r="J21" s="47"/>
      <c r="K21" s="53"/>
      <c r="L21" s="53"/>
      <c r="M21" s="54"/>
      <c r="N21" s="54"/>
      <c r="O21" s="47"/>
      <c r="P21" s="55"/>
      <c r="Q21" s="55"/>
      <c r="R21" s="56"/>
      <c r="S21" s="55"/>
      <c r="T21" s="57"/>
      <c r="U21" s="58"/>
      <c r="V21" s="59"/>
      <c r="W21" s="60"/>
      <c r="X21" s="61"/>
      <c r="Y21" s="62"/>
      <c r="Z21" s="63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4"/>
      <c r="AM21" s="62"/>
      <c r="AN21" s="63"/>
      <c r="AO21" s="62"/>
      <c r="AP21" s="62"/>
      <c r="AQ21" s="62"/>
      <c r="AR21" s="62"/>
      <c r="AS21" s="62"/>
      <c r="AT21" s="62"/>
      <c r="AU21" s="62"/>
      <c r="AV21" s="60"/>
      <c r="AW21" s="65"/>
      <c r="AX21" s="62"/>
      <c r="AY21" s="62"/>
      <c r="AZ21" s="62"/>
      <c r="BA21" s="62"/>
      <c r="BB21" s="62"/>
      <c r="BC21" s="62"/>
    </row>
    <row r="22" spans="1:55" s="66" customFormat="1" ht="15">
      <c r="A22" s="47"/>
      <c r="B22" s="48"/>
      <c r="C22" s="47"/>
      <c r="D22" s="47"/>
      <c r="E22" s="47"/>
      <c r="F22" s="49"/>
      <c r="G22" s="47"/>
      <c r="H22" s="51"/>
      <c r="I22" s="47"/>
      <c r="J22" s="47"/>
      <c r="K22" s="53"/>
      <c r="L22" s="53"/>
      <c r="M22" s="54"/>
      <c r="N22" s="54"/>
      <c r="O22" s="47"/>
      <c r="P22" s="55"/>
      <c r="Q22" s="55"/>
      <c r="R22" s="56"/>
      <c r="S22" s="55"/>
      <c r="T22" s="57"/>
      <c r="U22" s="58"/>
      <c r="V22" s="59"/>
      <c r="W22" s="60"/>
      <c r="X22" s="61"/>
      <c r="Y22" s="62"/>
      <c r="Z22" s="63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4"/>
      <c r="AM22" s="62"/>
      <c r="AN22" s="63"/>
      <c r="AO22" s="62"/>
      <c r="AP22" s="62"/>
      <c r="AQ22" s="62"/>
      <c r="AR22" s="62"/>
      <c r="AS22" s="62"/>
      <c r="AT22" s="62"/>
      <c r="AU22" s="62"/>
      <c r="AV22" s="60"/>
      <c r="AW22" s="65"/>
      <c r="AX22" s="62"/>
      <c r="AY22" s="62"/>
      <c r="AZ22" s="62"/>
      <c r="BA22" s="62"/>
      <c r="BB22" s="62"/>
      <c r="BC22" s="62"/>
    </row>
    <row r="23" spans="1:55" s="66" customFormat="1" ht="15">
      <c r="A23" s="47"/>
      <c r="B23" s="48"/>
      <c r="C23" s="47"/>
      <c r="D23" s="47"/>
      <c r="E23" s="47"/>
      <c r="F23" s="49"/>
      <c r="G23" s="47"/>
      <c r="H23" s="51"/>
      <c r="I23" s="47"/>
      <c r="J23" s="47"/>
      <c r="K23" s="53"/>
      <c r="L23" s="53"/>
      <c r="M23" s="54"/>
      <c r="N23" s="54"/>
      <c r="O23" s="47"/>
      <c r="P23" s="55"/>
      <c r="Q23" s="55"/>
      <c r="R23" s="56"/>
      <c r="S23" s="55"/>
      <c r="T23" s="57"/>
      <c r="U23" s="58"/>
      <c r="V23" s="59"/>
      <c r="W23" s="60"/>
      <c r="X23" s="61"/>
      <c r="Y23" s="62"/>
      <c r="Z23" s="63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4"/>
      <c r="AM23" s="62"/>
      <c r="AN23" s="63"/>
      <c r="AO23" s="62"/>
      <c r="AP23" s="62"/>
      <c r="AQ23" s="62"/>
      <c r="AR23" s="62"/>
      <c r="AS23" s="62"/>
      <c r="AT23" s="62"/>
      <c r="AU23" s="62"/>
      <c r="AV23" s="60"/>
      <c r="AW23" s="65"/>
      <c r="AX23" s="62"/>
      <c r="AY23" s="62"/>
      <c r="AZ23" s="62"/>
      <c r="BA23" s="62"/>
      <c r="BB23" s="62"/>
      <c r="BC23" s="62"/>
    </row>
    <row r="24" spans="1:55" s="66" customFormat="1" ht="15">
      <c r="A24" s="47"/>
      <c r="B24" s="48"/>
      <c r="C24" s="47"/>
      <c r="D24" s="47"/>
      <c r="E24" s="47"/>
      <c r="F24" s="49"/>
      <c r="G24" s="47"/>
      <c r="H24" s="51"/>
      <c r="I24" s="47"/>
      <c r="J24" s="47"/>
      <c r="K24" s="53"/>
      <c r="L24" s="53"/>
      <c r="M24" s="54"/>
      <c r="N24" s="54"/>
      <c r="O24" s="47"/>
      <c r="P24" s="55"/>
      <c r="Q24" s="55"/>
      <c r="R24" s="56"/>
      <c r="S24" s="55"/>
      <c r="T24" s="57"/>
      <c r="U24" s="58"/>
      <c r="V24" s="59"/>
      <c r="W24" s="60"/>
      <c r="X24" s="61"/>
      <c r="Y24" s="62"/>
      <c r="Z24" s="63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4"/>
      <c r="AM24" s="62"/>
      <c r="AN24" s="63"/>
      <c r="AO24" s="62"/>
      <c r="AP24" s="62"/>
      <c r="AQ24" s="62"/>
      <c r="AR24" s="62"/>
      <c r="AS24" s="62"/>
      <c r="AT24" s="62"/>
      <c r="AU24" s="62"/>
      <c r="AV24" s="60"/>
      <c r="AW24" s="65"/>
      <c r="AX24" s="62"/>
      <c r="AY24" s="62"/>
      <c r="AZ24" s="62"/>
      <c r="BA24" s="62"/>
      <c r="BB24" s="62"/>
      <c r="BC24" s="62"/>
    </row>
    <row r="25" spans="1:55" s="66" customFormat="1" ht="15">
      <c r="A25" s="47"/>
      <c r="B25" s="48"/>
      <c r="C25" s="47"/>
      <c r="D25" s="47"/>
      <c r="E25" s="47"/>
      <c r="F25" s="49"/>
      <c r="G25" s="47"/>
      <c r="H25" s="51"/>
      <c r="I25" s="47"/>
      <c r="J25" s="47"/>
      <c r="K25" s="53"/>
      <c r="L25" s="53"/>
      <c r="M25" s="54"/>
      <c r="N25" s="54"/>
      <c r="O25" s="47"/>
      <c r="P25" s="55"/>
      <c r="Q25" s="55"/>
      <c r="R25" s="56"/>
      <c r="S25" s="55"/>
      <c r="T25" s="57"/>
      <c r="U25" s="58"/>
      <c r="V25" s="59"/>
      <c r="W25" s="60"/>
      <c r="X25" s="61"/>
      <c r="Y25" s="62"/>
      <c r="Z25" s="63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4"/>
      <c r="AM25" s="62"/>
      <c r="AN25" s="63"/>
      <c r="AO25" s="62"/>
      <c r="AP25" s="62"/>
      <c r="AQ25" s="62"/>
      <c r="AR25" s="62"/>
      <c r="AS25" s="62"/>
      <c r="AT25" s="62"/>
      <c r="AU25" s="62"/>
      <c r="AV25" s="60"/>
      <c r="AW25" s="65"/>
      <c r="AX25" s="62"/>
      <c r="AY25" s="62"/>
      <c r="AZ25" s="62"/>
      <c r="BA25" s="62"/>
      <c r="BB25" s="62"/>
      <c r="BC25" s="62"/>
    </row>
    <row r="26" spans="1:55" s="66" customFormat="1" ht="15">
      <c r="A26" s="47"/>
      <c r="B26" s="48"/>
      <c r="C26" s="47"/>
      <c r="D26" s="47"/>
      <c r="E26" s="47"/>
      <c r="F26" s="49"/>
      <c r="G26" s="47"/>
      <c r="H26" s="51"/>
      <c r="I26" s="47"/>
      <c r="J26" s="47"/>
      <c r="K26" s="53"/>
      <c r="L26" s="53"/>
      <c r="M26" s="54"/>
      <c r="N26" s="54"/>
      <c r="O26" s="47"/>
      <c r="P26" s="55"/>
      <c r="Q26" s="55"/>
      <c r="R26" s="56"/>
      <c r="S26" s="55"/>
      <c r="T26" s="57"/>
      <c r="U26" s="58"/>
      <c r="V26" s="59"/>
      <c r="W26" s="60"/>
      <c r="X26" s="61"/>
      <c r="Y26" s="62"/>
      <c r="Z26" s="63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4"/>
      <c r="AM26" s="62"/>
      <c r="AN26" s="63"/>
      <c r="AO26" s="62"/>
      <c r="AP26" s="62"/>
      <c r="AQ26" s="62"/>
      <c r="AR26" s="62"/>
      <c r="AS26" s="62"/>
      <c r="AT26" s="62"/>
      <c r="AU26" s="62"/>
      <c r="AV26" s="60"/>
      <c r="AW26" s="65"/>
      <c r="AX26" s="62"/>
      <c r="AY26" s="62"/>
      <c r="AZ26" s="62"/>
      <c r="BA26" s="62"/>
      <c r="BB26" s="62"/>
      <c r="BC26" s="62"/>
    </row>
    <row r="27" spans="1:55" s="66" customFormat="1" ht="15">
      <c r="A27" s="47"/>
      <c r="B27" s="48"/>
      <c r="C27" s="47"/>
      <c r="D27" s="47"/>
      <c r="E27" s="47"/>
      <c r="F27" s="49"/>
      <c r="G27" s="47"/>
      <c r="H27" s="51"/>
      <c r="I27" s="47"/>
      <c r="J27" s="47"/>
      <c r="K27" s="53"/>
      <c r="L27" s="53"/>
      <c r="M27" s="54"/>
      <c r="N27" s="54"/>
      <c r="O27" s="47"/>
      <c r="P27" s="55"/>
      <c r="Q27" s="55"/>
      <c r="R27" s="56"/>
      <c r="S27" s="55"/>
      <c r="T27" s="57"/>
      <c r="U27" s="58"/>
      <c r="V27" s="59"/>
      <c r="W27" s="60"/>
      <c r="X27" s="61"/>
      <c r="Y27" s="62"/>
      <c r="Z27" s="63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4"/>
      <c r="AM27" s="62"/>
      <c r="AN27" s="63"/>
      <c r="AO27" s="62"/>
      <c r="AP27" s="62"/>
      <c r="AQ27" s="62"/>
      <c r="AR27" s="62"/>
      <c r="AS27" s="62"/>
      <c r="AT27" s="62"/>
      <c r="AU27" s="62"/>
      <c r="AV27" s="60"/>
      <c r="AW27" s="65"/>
      <c r="AX27" s="62"/>
      <c r="AY27" s="62"/>
      <c r="AZ27" s="62"/>
      <c r="BA27" s="62"/>
      <c r="BB27" s="62"/>
      <c r="BC27" s="62"/>
    </row>
    <row r="28" spans="1:55" s="66" customFormat="1" ht="15">
      <c r="A28" s="47"/>
      <c r="B28" s="48"/>
      <c r="C28" s="47"/>
      <c r="D28" s="47"/>
      <c r="E28" s="47"/>
      <c r="F28" s="49"/>
      <c r="G28" s="47"/>
      <c r="H28" s="51"/>
      <c r="I28" s="47"/>
      <c r="J28" s="47"/>
      <c r="K28" s="53"/>
      <c r="L28" s="53"/>
      <c r="M28" s="54"/>
      <c r="N28" s="54"/>
      <c r="O28" s="47"/>
      <c r="P28" s="55"/>
      <c r="Q28" s="55"/>
      <c r="R28" s="56"/>
      <c r="S28" s="55"/>
      <c r="T28" s="57"/>
      <c r="U28" s="58"/>
      <c r="V28" s="59"/>
      <c r="W28" s="60"/>
      <c r="X28" s="61"/>
      <c r="Y28" s="62"/>
      <c r="Z28" s="63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4"/>
      <c r="AM28" s="62"/>
      <c r="AN28" s="63"/>
      <c r="AO28" s="62"/>
      <c r="AP28" s="62"/>
      <c r="AQ28" s="62"/>
      <c r="AR28" s="62"/>
      <c r="AS28" s="62"/>
      <c r="AT28" s="62"/>
      <c r="AU28" s="62"/>
      <c r="AV28" s="60"/>
      <c r="AW28" s="65"/>
      <c r="AX28" s="62"/>
      <c r="AY28" s="62"/>
      <c r="AZ28" s="62"/>
      <c r="BA28" s="62"/>
      <c r="BB28" s="62"/>
      <c r="BC28" s="62"/>
    </row>
    <row r="29" spans="1:55" s="66" customFormat="1" ht="15">
      <c r="A29" s="47"/>
      <c r="B29" s="48"/>
      <c r="C29" s="47"/>
      <c r="D29" s="47"/>
      <c r="E29" s="47"/>
      <c r="F29" s="49"/>
      <c r="G29" s="47"/>
      <c r="H29" s="51"/>
      <c r="I29" s="47"/>
      <c r="J29" s="47"/>
      <c r="K29" s="53"/>
      <c r="L29" s="53"/>
      <c r="M29" s="54"/>
      <c r="N29" s="54"/>
      <c r="O29" s="47"/>
      <c r="P29" s="55"/>
      <c r="Q29" s="55"/>
      <c r="R29" s="56"/>
      <c r="S29" s="55"/>
      <c r="T29" s="57"/>
      <c r="U29" s="58"/>
      <c r="V29" s="59"/>
      <c r="W29" s="60"/>
      <c r="X29" s="61"/>
      <c r="Y29" s="62"/>
      <c r="Z29" s="63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4"/>
      <c r="AM29" s="62"/>
      <c r="AN29" s="63"/>
      <c r="AO29" s="62"/>
      <c r="AP29" s="62"/>
      <c r="AQ29" s="62"/>
      <c r="AR29" s="62"/>
      <c r="AS29" s="62"/>
      <c r="AT29" s="62"/>
      <c r="AU29" s="62"/>
      <c r="AV29" s="60"/>
      <c r="AW29" s="65"/>
      <c r="AX29" s="62"/>
      <c r="AY29" s="62"/>
      <c r="AZ29" s="62"/>
      <c r="BA29" s="62"/>
      <c r="BB29" s="62"/>
      <c r="BC29" s="62"/>
    </row>
    <row r="30" spans="1:55" s="66" customFormat="1" ht="15">
      <c r="A30" s="47"/>
      <c r="B30" s="48"/>
      <c r="C30" s="47"/>
      <c r="D30" s="47"/>
      <c r="E30" s="47"/>
      <c r="F30" s="49"/>
      <c r="G30" s="47"/>
      <c r="H30" s="51"/>
      <c r="I30" s="47"/>
      <c r="J30" s="47"/>
      <c r="K30" s="53"/>
      <c r="L30" s="53"/>
      <c r="M30" s="54"/>
      <c r="N30" s="54"/>
      <c r="O30" s="47"/>
      <c r="P30" s="55"/>
      <c r="Q30" s="55"/>
      <c r="R30" s="56"/>
      <c r="S30" s="55"/>
      <c r="T30" s="57"/>
      <c r="U30" s="58"/>
      <c r="V30" s="59"/>
      <c r="W30" s="60"/>
      <c r="X30" s="61"/>
      <c r="Y30" s="62"/>
      <c r="Z30" s="63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4"/>
      <c r="AM30" s="62"/>
      <c r="AN30" s="63"/>
      <c r="AO30" s="62"/>
      <c r="AP30" s="62"/>
      <c r="AQ30" s="62"/>
      <c r="AR30" s="62"/>
      <c r="AS30" s="62"/>
      <c r="AT30" s="62"/>
      <c r="AU30" s="62"/>
      <c r="AV30" s="60"/>
      <c r="AW30" s="65"/>
      <c r="AX30" s="62"/>
      <c r="AY30" s="62"/>
      <c r="AZ30" s="62"/>
      <c r="BA30" s="62"/>
      <c r="BB30" s="62"/>
      <c r="BC30" s="62"/>
    </row>
    <row r="31" spans="1:55" s="66" customFormat="1" ht="15">
      <c r="A31" s="47"/>
      <c r="B31" s="48"/>
      <c r="C31" s="47"/>
      <c r="D31" s="47"/>
      <c r="E31" s="47"/>
      <c r="F31" s="49"/>
      <c r="G31" s="47"/>
      <c r="H31" s="51"/>
      <c r="I31" s="47"/>
      <c r="J31" s="47"/>
      <c r="K31" s="53"/>
      <c r="L31" s="53"/>
      <c r="M31" s="54"/>
      <c r="N31" s="54"/>
      <c r="O31" s="47"/>
      <c r="P31" s="55"/>
      <c r="Q31" s="55"/>
      <c r="R31" s="56"/>
      <c r="S31" s="55"/>
      <c r="T31" s="57"/>
      <c r="U31" s="58"/>
      <c r="V31" s="59"/>
      <c r="W31" s="60"/>
      <c r="X31" s="61"/>
      <c r="Y31" s="62"/>
      <c r="Z31" s="63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4"/>
      <c r="AM31" s="62"/>
      <c r="AN31" s="63"/>
      <c r="AO31" s="62"/>
      <c r="AP31" s="62"/>
      <c r="AQ31" s="62"/>
      <c r="AR31" s="62"/>
      <c r="AS31" s="62"/>
      <c r="AT31" s="62"/>
      <c r="AU31" s="62"/>
      <c r="AV31" s="60"/>
      <c r="AW31" s="65"/>
      <c r="AX31" s="62"/>
      <c r="AY31" s="62"/>
      <c r="AZ31" s="62"/>
      <c r="BA31" s="62"/>
      <c r="BB31" s="62"/>
      <c r="BC31" s="62"/>
    </row>
    <row r="32" spans="1:55" s="66" customFormat="1" ht="15">
      <c r="A32" s="47"/>
      <c r="B32" s="48"/>
      <c r="C32" s="47"/>
      <c r="D32" s="47"/>
      <c r="E32" s="47"/>
      <c r="F32" s="49"/>
      <c r="G32" s="47"/>
      <c r="H32" s="51"/>
      <c r="I32" s="47"/>
      <c r="J32" s="47"/>
      <c r="K32" s="53"/>
      <c r="L32" s="53"/>
      <c r="M32" s="54"/>
      <c r="N32" s="54"/>
      <c r="O32" s="47"/>
      <c r="P32" s="55"/>
      <c r="Q32" s="55"/>
      <c r="R32" s="56"/>
      <c r="S32" s="55"/>
      <c r="T32" s="57"/>
      <c r="U32" s="58"/>
      <c r="V32" s="59"/>
      <c r="W32" s="60"/>
      <c r="X32" s="61"/>
      <c r="Y32" s="62"/>
      <c r="Z32" s="63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4"/>
      <c r="AM32" s="62"/>
      <c r="AN32" s="63"/>
      <c r="AO32" s="62"/>
      <c r="AP32" s="62"/>
      <c r="AQ32" s="62"/>
      <c r="AR32" s="62"/>
      <c r="AS32" s="62"/>
      <c r="AT32" s="62"/>
      <c r="AU32" s="62"/>
      <c r="AV32" s="60"/>
      <c r="AW32" s="65"/>
      <c r="AX32" s="62"/>
      <c r="AY32" s="62"/>
      <c r="AZ32" s="62"/>
      <c r="BA32" s="62"/>
      <c r="BB32" s="62"/>
      <c r="BC32" s="62"/>
    </row>
    <row r="33" spans="1:55" s="66" customFormat="1" ht="15">
      <c r="A33" s="47"/>
      <c r="B33" s="48"/>
      <c r="C33" s="47"/>
      <c r="D33" s="47"/>
      <c r="E33" s="47"/>
      <c r="F33" s="49"/>
      <c r="G33" s="47"/>
      <c r="H33" s="51"/>
      <c r="I33" s="47"/>
      <c r="J33" s="47"/>
      <c r="K33" s="53"/>
      <c r="L33" s="53"/>
      <c r="M33" s="54"/>
      <c r="N33" s="54"/>
      <c r="O33" s="47"/>
      <c r="P33" s="55"/>
      <c r="Q33" s="55"/>
      <c r="R33" s="56"/>
      <c r="S33" s="55"/>
      <c r="T33" s="57"/>
      <c r="U33" s="58"/>
      <c r="V33" s="59"/>
      <c r="W33" s="60"/>
      <c r="X33" s="61"/>
      <c r="Y33" s="62"/>
      <c r="Z33" s="63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4"/>
      <c r="AM33" s="62"/>
      <c r="AN33" s="63"/>
      <c r="AO33" s="62"/>
      <c r="AP33" s="62"/>
      <c r="AQ33" s="62"/>
      <c r="AR33" s="62"/>
      <c r="AS33" s="62"/>
      <c r="AT33" s="62"/>
      <c r="AU33" s="62"/>
      <c r="AV33" s="60"/>
      <c r="AW33" s="65"/>
      <c r="AX33" s="62"/>
      <c r="AY33" s="62"/>
      <c r="AZ33" s="62"/>
      <c r="BA33" s="62"/>
      <c r="BB33" s="62"/>
      <c r="BC33" s="62"/>
    </row>
    <row r="34" spans="1:55" s="66" customFormat="1" ht="15">
      <c r="A34" s="47"/>
      <c r="B34" s="48"/>
      <c r="C34" s="47"/>
      <c r="D34" s="47"/>
      <c r="E34" s="47"/>
      <c r="F34" s="49"/>
      <c r="G34" s="47"/>
      <c r="H34" s="51"/>
      <c r="I34" s="47"/>
      <c r="J34" s="47"/>
      <c r="K34" s="53"/>
      <c r="L34" s="53"/>
      <c r="M34" s="54"/>
      <c r="N34" s="54"/>
      <c r="O34" s="47"/>
      <c r="P34" s="55"/>
      <c r="Q34" s="55"/>
      <c r="R34" s="56"/>
      <c r="S34" s="55"/>
      <c r="T34" s="57"/>
      <c r="U34" s="58"/>
      <c r="V34" s="59"/>
      <c r="W34" s="60"/>
      <c r="X34" s="61"/>
      <c r="Y34" s="62"/>
      <c r="Z34" s="63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4"/>
      <c r="AM34" s="62"/>
      <c r="AN34" s="63"/>
      <c r="AO34" s="62"/>
      <c r="AP34" s="62"/>
      <c r="AQ34" s="62"/>
      <c r="AR34" s="62"/>
      <c r="AS34" s="62"/>
      <c r="AT34" s="62"/>
      <c r="AU34" s="62"/>
      <c r="AV34" s="60"/>
      <c r="AW34" s="65"/>
      <c r="AX34" s="62"/>
      <c r="AY34" s="62"/>
      <c r="AZ34" s="62"/>
      <c r="BA34" s="62"/>
      <c r="BB34" s="62"/>
      <c r="BC34" s="62"/>
    </row>
    <row r="35" spans="1:55" s="66" customFormat="1" ht="15">
      <c r="A35" s="47"/>
      <c r="B35" s="48"/>
      <c r="C35" s="47"/>
      <c r="D35" s="47"/>
      <c r="E35" s="47"/>
      <c r="F35" s="49"/>
      <c r="G35" s="47"/>
      <c r="H35" s="51"/>
      <c r="I35" s="47"/>
      <c r="J35" s="47"/>
      <c r="K35" s="53"/>
      <c r="L35" s="53"/>
      <c r="M35" s="54"/>
      <c r="N35" s="54"/>
      <c r="O35" s="47"/>
      <c r="P35" s="55"/>
      <c r="Q35" s="55"/>
      <c r="R35" s="56"/>
      <c r="S35" s="55"/>
      <c r="T35" s="57"/>
      <c r="U35" s="58"/>
      <c r="V35" s="59"/>
      <c r="W35" s="60"/>
      <c r="X35" s="61"/>
      <c r="Y35" s="62"/>
      <c r="Z35" s="63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4"/>
      <c r="AM35" s="62"/>
      <c r="AN35" s="63"/>
      <c r="AO35" s="62"/>
      <c r="AP35" s="62"/>
      <c r="AQ35" s="62"/>
      <c r="AR35" s="62"/>
      <c r="AS35" s="62"/>
      <c r="AT35" s="62"/>
      <c r="AU35" s="62"/>
      <c r="AV35" s="60"/>
      <c r="AW35" s="65"/>
      <c r="AX35" s="62"/>
      <c r="AY35" s="62"/>
      <c r="AZ35" s="62"/>
      <c r="BA35" s="62"/>
      <c r="BB35" s="62"/>
      <c r="BC35" s="62"/>
    </row>
    <row r="36" spans="1:55" s="66" customFormat="1" ht="15">
      <c r="A36" s="47"/>
      <c r="B36" s="48"/>
      <c r="C36" s="47"/>
      <c r="D36" s="47"/>
      <c r="E36" s="47"/>
      <c r="F36" s="49"/>
      <c r="G36" s="47"/>
      <c r="H36" s="51"/>
      <c r="I36" s="47"/>
      <c r="J36" s="47"/>
      <c r="K36" s="53"/>
      <c r="L36" s="53"/>
      <c r="M36" s="54"/>
      <c r="N36" s="54"/>
      <c r="O36" s="47"/>
      <c r="P36" s="55"/>
      <c r="Q36" s="55"/>
      <c r="R36" s="56"/>
      <c r="S36" s="55"/>
      <c r="T36" s="57"/>
      <c r="U36" s="58"/>
      <c r="V36" s="59"/>
      <c r="W36" s="60"/>
      <c r="X36" s="61"/>
      <c r="Y36" s="62"/>
      <c r="Z36" s="63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4"/>
      <c r="AM36" s="62"/>
      <c r="AN36" s="63"/>
      <c r="AO36" s="62"/>
      <c r="AP36" s="62"/>
      <c r="AQ36" s="62"/>
      <c r="AR36" s="62"/>
      <c r="AS36" s="62"/>
      <c r="AT36" s="62"/>
      <c r="AU36" s="62"/>
      <c r="AV36" s="60"/>
      <c r="AW36" s="65"/>
      <c r="AX36" s="62"/>
      <c r="AY36" s="62"/>
      <c r="AZ36" s="62"/>
      <c r="BA36" s="62"/>
      <c r="BB36" s="62"/>
      <c r="BC36" s="62"/>
    </row>
    <row r="37" spans="1:55" s="66" customFormat="1" ht="15">
      <c r="A37" s="47"/>
      <c r="B37" s="48"/>
      <c r="C37" s="47"/>
      <c r="D37" s="47"/>
      <c r="E37" s="47"/>
      <c r="F37" s="49"/>
      <c r="G37" s="47"/>
      <c r="H37" s="51"/>
      <c r="I37" s="47"/>
      <c r="J37" s="47"/>
      <c r="K37" s="53"/>
      <c r="L37" s="53"/>
      <c r="M37" s="54"/>
      <c r="N37" s="54"/>
      <c r="O37" s="47"/>
      <c r="P37" s="55"/>
      <c r="Q37" s="55"/>
      <c r="R37" s="56"/>
      <c r="S37" s="55"/>
      <c r="T37" s="57"/>
      <c r="U37" s="58"/>
      <c r="V37" s="59"/>
      <c r="W37" s="60"/>
      <c r="X37" s="61"/>
      <c r="Y37" s="62"/>
      <c r="Z37" s="63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4"/>
      <c r="AM37" s="62"/>
      <c r="AN37" s="63"/>
      <c r="AO37" s="62"/>
      <c r="AP37" s="62"/>
      <c r="AQ37" s="62"/>
      <c r="AR37" s="62"/>
      <c r="AS37" s="62"/>
      <c r="AT37" s="62"/>
      <c r="AU37" s="62"/>
      <c r="AV37" s="60"/>
      <c r="AW37" s="65"/>
      <c r="AX37" s="62"/>
      <c r="AY37" s="62"/>
      <c r="AZ37" s="62"/>
      <c r="BA37" s="62"/>
      <c r="BB37" s="62"/>
      <c r="BC37" s="62"/>
    </row>
    <row r="38" spans="1:55" s="66" customFormat="1" ht="15">
      <c r="A38" s="47"/>
      <c r="B38" s="48"/>
      <c r="C38" s="47"/>
      <c r="D38" s="47"/>
      <c r="E38" s="47"/>
      <c r="F38" s="49"/>
      <c r="G38" s="47"/>
      <c r="H38" s="51"/>
      <c r="I38" s="47"/>
      <c r="J38" s="47"/>
      <c r="K38" s="53"/>
      <c r="L38" s="53"/>
      <c r="M38" s="54"/>
      <c r="N38" s="54"/>
      <c r="O38" s="47"/>
      <c r="P38" s="55"/>
      <c r="Q38" s="55"/>
      <c r="R38" s="56"/>
      <c r="S38" s="55"/>
      <c r="T38" s="57"/>
      <c r="U38" s="58"/>
      <c r="V38" s="59"/>
      <c r="W38" s="60"/>
      <c r="X38" s="61"/>
      <c r="Y38" s="62"/>
      <c r="Z38" s="63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4"/>
      <c r="AM38" s="62"/>
      <c r="AN38" s="63"/>
      <c r="AO38" s="62"/>
      <c r="AP38" s="62"/>
      <c r="AQ38" s="62"/>
      <c r="AR38" s="62"/>
      <c r="AS38" s="62"/>
      <c r="AT38" s="62"/>
      <c r="AU38" s="62"/>
      <c r="AV38" s="60"/>
      <c r="AW38" s="65"/>
      <c r="AX38" s="62"/>
      <c r="AY38" s="62"/>
      <c r="AZ38" s="62"/>
      <c r="BA38" s="62"/>
      <c r="BB38" s="62"/>
      <c r="BC38" s="62"/>
    </row>
    <row r="39" spans="1:55" s="66" customFormat="1" ht="15">
      <c r="A39" s="47"/>
      <c r="B39" s="48"/>
      <c r="C39" s="47"/>
      <c r="D39" s="47"/>
      <c r="E39" s="47"/>
      <c r="F39" s="49"/>
      <c r="G39" s="47"/>
      <c r="H39" s="51"/>
      <c r="I39" s="47"/>
      <c r="J39" s="47"/>
      <c r="K39" s="53"/>
      <c r="L39" s="53"/>
      <c r="M39" s="54"/>
      <c r="N39" s="54"/>
      <c r="O39" s="47"/>
      <c r="P39" s="55"/>
      <c r="Q39" s="55"/>
      <c r="R39" s="56"/>
      <c r="S39" s="55"/>
      <c r="T39" s="57"/>
      <c r="U39" s="58"/>
      <c r="V39" s="59"/>
      <c r="W39" s="60"/>
      <c r="X39" s="61"/>
      <c r="Y39" s="62"/>
      <c r="Z39" s="63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4"/>
      <c r="AM39" s="62"/>
      <c r="AN39" s="63"/>
      <c r="AO39" s="62"/>
      <c r="AP39" s="62"/>
      <c r="AQ39" s="62"/>
      <c r="AR39" s="62"/>
      <c r="AS39" s="62"/>
      <c r="AT39" s="62"/>
      <c r="AU39" s="62"/>
      <c r="AV39" s="60"/>
      <c r="AW39" s="65"/>
      <c r="AX39" s="62"/>
      <c r="AY39" s="62"/>
      <c r="AZ39" s="62"/>
      <c r="BA39" s="62"/>
      <c r="BB39" s="62"/>
      <c r="BC39" s="62"/>
    </row>
    <row r="40" spans="1:55" s="66" customFormat="1" ht="15">
      <c r="A40" s="47"/>
      <c r="B40" s="48"/>
      <c r="C40" s="47"/>
      <c r="D40" s="47"/>
      <c r="E40" s="47"/>
      <c r="F40" s="49"/>
      <c r="G40" s="47"/>
      <c r="H40" s="51"/>
      <c r="I40" s="47"/>
      <c r="J40" s="47"/>
      <c r="K40" s="53"/>
      <c r="L40" s="53"/>
      <c r="M40" s="54"/>
      <c r="N40" s="54"/>
      <c r="O40" s="47"/>
      <c r="P40" s="55"/>
      <c r="Q40" s="55"/>
      <c r="R40" s="56"/>
      <c r="S40" s="55"/>
      <c r="T40" s="57"/>
      <c r="U40" s="58"/>
      <c r="V40" s="59"/>
      <c r="W40" s="60"/>
      <c r="X40" s="61"/>
      <c r="Y40" s="62"/>
      <c r="Z40" s="63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4"/>
      <c r="AM40" s="62"/>
      <c r="AN40" s="63"/>
      <c r="AO40" s="62"/>
      <c r="AP40" s="62"/>
      <c r="AQ40" s="62"/>
      <c r="AR40" s="62"/>
      <c r="AS40" s="62"/>
      <c r="AT40" s="62"/>
      <c r="AU40" s="62"/>
      <c r="AV40" s="60"/>
      <c r="AW40" s="65"/>
      <c r="AX40" s="62"/>
      <c r="AY40" s="62"/>
      <c r="AZ40" s="62"/>
      <c r="BA40" s="62"/>
      <c r="BB40" s="62"/>
      <c r="BC40" s="62"/>
    </row>
    <row r="41" spans="1:55" s="66" customFormat="1" ht="15">
      <c r="A41" s="47"/>
      <c r="B41" s="48"/>
      <c r="C41" s="47"/>
      <c r="D41" s="47"/>
      <c r="E41" s="47"/>
      <c r="F41" s="49"/>
      <c r="G41" s="47"/>
      <c r="H41" s="51"/>
      <c r="I41" s="47"/>
      <c r="J41" s="47"/>
      <c r="K41" s="53"/>
      <c r="L41" s="53"/>
      <c r="M41" s="54"/>
      <c r="N41" s="54"/>
      <c r="O41" s="47"/>
      <c r="P41" s="55"/>
      <c r="Q41" s="55"/>
      <c r="R41" s="56"/>
      <c r="S41" s="55"/>
      <c r="T41" s="57"/>
      <c r="U41" s="58"/>
      <c r="V41" s="59"/>
      <c r="W41" s="60"/>
      <c r="X41" s="61"/>
      <c r="Y41" s="62"/>
      <c r="Z41" s="63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4"/>
      <c r="AM41" s="62"/>
      <c r="AN41" s="63"/>
      <c r="AO41" s="62"/>
      <c r="AP41" s="62"/>
      <c r="AQ41" s="62"/>
      <c r="AR41" s="62"/>
      <c r="AS41" s="62"/>
      <c r="AT41" s="62"/>
      <c r="AU41" s="62"/>
      <c r="AV41" s="60"/>
      <c r="AW41" s="65"/>
      <c r="AX41" s="62"/>
      <c r="AY41" s="62"/>
      <c r="AZ41" s="62"/>
      <c r="BA41" s="62"/>
      <c r="BB41" s="62"/>
      <c r="BC41" s="62"/>
    </row>
    <row r="42" spans="1:55" s="66" customFormat="1" ht="15">
      <c r="A42" s="47"/>
      <c r="B42" s="48"/>
      <c r="C42" s="47"/>
      <c r="D42" s="47"/>
      <c r="E42" s="47"/>
      <c r="F42" s="49"/>
      <c r="G42" s="47"/>
      <c r="H42" s="51"/>
      <c r="I42" s="47"/>
      <c r="J42" s="47"/>
      <c r="K42" s="53"/>
      <c r="L42" s="53"/>
      <c r="M42" s="54"/>
      <c r="N42" s="54"/>
      <c r="O42" s="47"/>
      <c r="P42" s="55"/>
      <c r="Q42" s="55"/>
      <c r="R42" s="56"/>
      <c r="S42" s="55"/>
      <c r="T42" s="57"/>
      <c r="U42" s="58"/>
      <c r="V42" s="59"/>
      <c r="W42" s="60"/>
      <c r="X42" s="61"/>
      <c r="Y42" s="62"/>
      <c r="Z42" s="63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4"/>
      <c r="AM42" s="62"/>
      <c r="AN42" s="63"/>
      <c r="AO42" s="62"/>
      <c r="AP42" s="62"/>
      <c r="AQ42" s="62"/>
      <c r="AR42" s="62"/>
      <c r="AS42" s="62"/>
      <c r="AT42" s="62"/>
      <c r="AU42" s="62"/>
      <c r="AV42" s="60"/>
      <c r="AW42" s="65"/>
      <c r="AX42" s="62"/>
      <c r="AY42" s="62"/>
      <c r="AZ42" s="62"/>
      <c r="BA42" s="62"/>
      <c r="BB42" s="62"/>
      <c r="BC42" s="62"/>
    </row>
    <row r="43" spans="1:55" s="66" customFormat="1" ht="15">
      <c r="A43" s="47"/>
      <c r="B43" s="48"/>
      <c r="C43" s="47"/>
      <c r="D43" s="47"/>
      <c r="E43" s="47"/>
      <c r="F43" s="49"/>
      <c r="G43" s="47"/>
      <c r="H43" s="51"/>
      <c r="I43" s="47"/>
      <c r="J43" s="47"/>
      <c r="K43" s="53"/>
      <c r="L43" s="53"/>
      <c r="M43" s="54"/>
      <c r="N43" s="54"/>
      <c r="O43" s="47"/>
      <c r="P43" s="55"/>
      <c r="Q43" s="55"/>
      <c r="R43" s="56"/>
      <c r="S43" s="55"/>
      <c r="T43" s="57"/>
      <c r="U43" s="58"/>
      <c r="V43" s="59"/>
      <c r="W43" s="60"/>
      <c r="X43" s="61"/>
      <c r="Y43" s="62"/>
      <c r="Z43" s="63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4"/>
      <c r="AM43" s="62"/>
      <c r="AN43" s="63"/>
      <c r="AO43" s="62"/>
      <c r="AP43" s="62"/>
      <c r="AQ43" s="62"/>
      <c r="AR43" s="62"/>
      <c r="AS43" s="62"/>
      <c r="AT43" s="62"/>
      <c r="AU43" s="62"/>
      <c r="AV43" s="60"/>
      <c r="AW43" s="65"/>
      <c r="AX43" s="62"/>
      <c r="AY43" s="62"/>
      <c r="AZ43" s="62"/>
      <c r="BA43" s="62"/>
      <c r="BB43" s="62"/>
      <c r="BC43" s="62"/>
    </row>
    <row r="44" spans="1:55" s="66" customFormat="1" ht="15">
      <c r="A44" s="47"/>
      <c r="B44" s="48"/>
      <c r="C44" s="47"/>
      <c r="D44" s="47"/>
      <c r="E44" s="47"/>
      <c r="F44" s="49"/>
      <c r="G44" s="47"/>
      <c r="H44" s="51"/>
      <c r="I44" s="47"/>
      <c r="J44" s="47"/>
      <c r="K44" s="53"/>
      <c r="L44" s="53"/>
      <c r="M44" s="54"/>
      <c r="N44" s="54"/>
      <c r="O44" s="47"/>
      <c r="P44" s="55"/>
      <c r="Q44" s="55"/>
      <c r="R44" s="56"/>
      <c r="S44" s="55"/>
      <c r="T44" s="57"/>
      <c r="U44" s="58"/>
      <c r="V44" s="59"/>
      <c r="W44" s="60"/>
      <c r="X44" s="61"/>
      <c r="Y44" s="62"/>
      <c r="Z44" s="63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4"/>
      <c r="AM44" s="62"/>
      <c r="AN44" s="63"/>
      <c r="AO44" s="62"/>
      <c r="AP44" s="62"/>
      <c r="AQ44" s="62"/>
      <c r="AR44" s="62"/>
      <c r="AS44" s="62"/>
      <c r="AT44" s="62"/>
      <c r="AU44" s="62"/>
      <c r="AV44" s="60"/>
      <c r="AW44" s="65"/>
      <c r="AX44" s="62"/>
      <c r="AY44" s="62"/>
      <c r="AZ44" s="62"/>
      <c r="BA44" s="62"/>
      <c r="BB44" s="62"/>
      <c r="BC44" s="62"/>
    </row>
    <row r="45" spans="1:55" s="66" customFormat="1" ht="15">
      <c r="A45" s="47"/>
      <c r="B45" s="48"/>
      <c r="C45" s="47"/>
      <c r="D45" s="47"/>
      <c r="E45" s="47"/>
      <c r="F45" s="49"/>
      <c r="G45" s="47"/>
      <c r="H45" s="51"/>
      <c r="I45" s="47"/>
      <c r="J45" s="47"/>
      <c r="K45" s="53"/>
      <c r="L45" s="53"/>
      <c r="M45" s="54"/>
      <c r="N45" s="54"/>
      <c r="O45" s="47"/>
      <c r="P45" s="55"/>
      <c r="Q45" s="55"/>
      <c r="R45" s="56"/>
      <c r="S45" s="55"/>
      <c r="T45" s="57"/>
      <c r="U45" s="58"/>
      <c r="V45" s="59"/>
      <c r="W45" s="60"/>
      <c r="X45" s="61"/>
      <c r="Y45" s="62"/>
      <c r="Z45" s="63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4"/>
      <c r="AM45" s="62"/>
      <c r="AN45" s="63"/>
      <c r="AO45" s="62"/>
      <c r="AP45" s="62"/>
      <c r="AQ45" s="62"/>
      <c r="AR45" s="62"/>
      <c r="AS45" s="62"/>
      <c r="AT45" s="62"/>
      <c r="AU45" s="62"/>
      <c r="AV45" s="60"/>
      <c r="AW45" s="65"/>
      <c r="AX45" s="62"/>
      <c r="AY45" s="62"/>
      <c r="AZ45" s="62"/>
      <c r="BA45" s="62"/>
      <c r="BB45" s="62"/>
      <c r="BC45" s="62"/>
    </row>
    <row r="46" spans="1:55" s="66" customFormat="1" ht="15">
      <c r="A46" s="47"/>
      <c r="B46" s="48"/>
      <c r="C46" s="47"/>
      <c r="D46" s="47"/>
      <c r="E46" s="47"/>
      <c r="F46" s="49"/>
      <c r="G46" s="47"/>
      <c r="H46" s="51"/>
      <c r="I46" s="47"/>
      <c r="J46" s="47"/>
      <c r="K46" s="53"/>
      <c r="L46" s="53"/>
      <c r="M46" s="54"/>
      <c r="N46" s="54"/>
      <c r="O46" s="47"/>
      <c r="P46" s="55"/>
      <c r="Q46" s="55"/>
      <c r="R46" s="56"/>
      <c r="S46" s="55"/>
      <c r="T46" s="57"/>
      <c r="U46" s="58"/>
      <c r="V46" s="59"/>
      <c r="W46" s="60"/>
      <c r="X46" s="61"/>
      <c r="Y46" s="62"/>
      <c r="Z46" s="63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4"/>
      <c r="AM46" s="62"/>
      <c r="AN46" s="63"/>
      <c r="AO46" s="62"/>
      <c r="AP46" s="62"/>
      <c r="AQ46" s="62"/>
      <c r="AR46" s="62"/>
      <c r="AS46" s="62"/>
      <c r="AT46" s="62"/>
      <c r="AU46" s="62"/>
      <c r="AV46" s="60"/>
      <c r="AW46" s="65"/>
      <c r="AX46" s="62"/>
      <c r="AY46" s="62"/>
      <c r="AZ46" s="62"/>
      <c r="BA46" s="62"/>
      <c r="BB46" s="62"/>
      <c r="BC46" s="62"/>
    </row>
    <row r="47" spans="1:55" s="66" customFormat="1" ht="15">
      <c r="A47" s="47"/>
      <c r="B47" s="48"/>
      <c r="C47" s="47"/>
      <c r="D47" s="47"/>
      <c r="E47" s="47"/>
      <c r="F47" s="49"/>
      <c r="G47" s="47"/>
      <c r="H47" s="51"/>
      <c r="I47" s="47"/>
      <c r="J47" s="47"/>
      <c r="K47" s="53"/>
      <c r="L47" s="53"/>
      <c r="M47" s="54"/>
      <c r="N47" s="54"/>
      <c r="O47" s="47"/>
      <c r="P47" s="55"/>
      <c r="Q47" s="55"/>
      <c r="R47" s="56"/>
      <c r="S47" s="55"/>
      <c r="T47" s="57"/>
      <c r="U47" s="58"/>
      <c r="V47" s="59"/>
      <c r="W47" s="60"/>
      <c r="X47" s="61"/>
      <c r="Y47" s="62"/>
      <c r="Z47" s="63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4"/>
      <c r="AM47" s="62"/>
      <c r="AN47" s="63"/>
      <c r="AO47" s="62"/>
      <c r="AP47" s="62"/>
      <c r="AQ47" s="62"/>
      <c r="AR47" s="62"/>
      <c r="AS47" s="62"/>
      <c r="AT47" s="62"/>
      <c r="AU47" s="62"/>
      <c r="AV47" s="60"/>
      <c r="AW47" s="65"/>
      <c r="AX47" s="62"/>
      <c r="AY47" s="62"/>
      <c r="AZ47" s="62"/>
      <c r="BA47" s="62"/>
      <c r="BB47" s="62"/>
      <c r="BC47" s="62"/>
    </row>
    <row r="48" spans="1:55" s="66" customFormat="1" ht="15">
      <c r="A48" s="47"/>
      <c r="B48" s="48"/>
      <c r="C48" s="47"/>
      <c r="D48" s="47"/>
      <c r="E48" s="47"/>
      <c r="F48" s="49"/>
      <c r="G48" s="47"/>
      <c r="H48" s="51"/>
      <c r="I48" s="47"/>
      <c r="J48" s="47"/>
      <c r="K48" s="53"/>
      <c r="L48" s="53"/>
      <c r="M48" s="54"/>
      <c r="N48" s="54"/>
      <c r="O48" s="47"/>
      <c r="P48" s="55"/>
      <c r="Q48" s="55"/>
      <c r="R48" s="56"/>
      <c r="S48" s="55"/>
      <c r="T48" s="57"/>
      <c r="U48" s="58"/>
      <c r="V48" s="59"/>
      <c r="W48" s="60"/>
      <c r="X48" s="61"/>
      <c r="Y48" s="62"/>
      <c r="Z48" s="63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4"/>
      <c r="AM48" s="62"/>
      <c r="AN48" s="63"/>
      <c r="AO48" s="62"/>
      <c r="AP48" s="62"/>
      <c r="AQ48" s="62"/>
      <c r="AR48" s="62"/>
      <c r="AS48" s="62"/>
      <c r="AT48" s="62"/>
      <c r="AU48" s="62"/>
      <c r="AV48" s="60"/>
      <c r="AW48" s="65"/>
      <c r="AX48" s="62"/>
      <c r="AY48" s="62"/>
      <c r="AZ48" s="62"/>
      <c r="BA48" s="62"/>
      <c r="BB48" s="62"/>
      <c r="BC48" s="62"/>
    </row>
    <row r="49" spans="1:55" s="66" customFormat="1" ht="15">
      <c r="A49" s="47"/>
      <c r="B49" s="48"/>
      <c r="C49" s="47"/>
      <c r="D49" s="47"/>
      <c r="E49" s="47"/>
      <c r="F49" s="49"/>
      <c r="G49" s="47"/>
      <c r="H49" s="51"/>
      <c r="I49" s="47"/>
      <c r="J49" s="47"/>
      <c r="K49" s="53"/>
      <c r="L49" s="53"/>
      <c r="M49" s="54"/>
      <c r="N49" s="54"/>
      <c r="O49" s="47"/>
      <c r="P49" s="55"/>
      <c r="Q49" s="55"/>
      <c r="R49" s="56"/>
      <c r="S49" s="55"/>
      <c r="T49" s="57"/>
      <c r="U49" s="58"/>
      <c r="V49" s="59"/>
      <c r="W49" s="60"/>
      <c r="X49" s="61"/>
      <c r="Y49" s="62"/>
      <c r="Z49" s="63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4"/>
      <c r="AM49" s="62"/>
      <c r="AN49" s="63"/>
      <c r="AO49" s="62"/>
      <c r="AP49" s="62"/>
      <c r="AQ49" s="62"/>
      <c r="AR49" s="62"/>
      <c r="AS49" s="62"/>
      <c r="AT49" s="62"/>
      <c r="AU49" s="62"/>
      <c r="AV49" s="60"/>
      <c r="AW49" s="65"/>
      <c r="AX49" s="62"/>
      <c r="AY49" s="62"/>
      <c r="AZ49" s="62"/>
      <c r="BA49" s="62"/>
      <c r="BB49" s="62"/>
      <c r="BC49" s="62"/>
    </row>
    <row r="50" spans="1:55" s="66" customFormat="1" ht="15">
      <c r="A50" s="47"/>
      <c r="B50" s="48"/>
      <c r="C50" s="47"/>
      <c r="D50" s="47"/>
      <c r="E50" s="47"/>
      <c r="F50" s="49"/>
      <c r="G50" s="47"/>
      <c r="H50" s="51"/>
      <c r="I50" s="47"/>
      <c r="J50" s="47"/>
      <c r="K50" s="53"/>
      <c r="L50" s="53"/>
      <c r="M50" s="54"/>
      <c r="N50" s="54"/>
      <c r="O50" s="47"/>
      <c r="P50" s="55"/>
      <c r="Q50" s="55"/>
      <c r="R50" s="56"/>
      <c r="S50" s="55"/>
      <c r="T50" s="57"/>
      <c r="U50" s="58"/>
      <c r="V50" s="59"/>
      <c r="W50" s="60"/>
      <c r="X50" s="61"/>
      <c r="Y50" s="62"/>
      <c r="Z50" s="63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4"/>
      <c r="AM50" s="62"/>
      <c r="AN50" s="63"/>
      <c r="AO50" s="62"/>
      <c r="AP50" s="62"/>
      <c r="AQ50" s="62"/>
      <c r="AR50" s="62"/>
      <c r="AS50" s="62"/>
      <c r="AT50" s="62"/>
      <c r="AU50" s="62"/>
      <c r="AV50" s="60"/>
      <c r="AW50" s="65"/>
      <c r="AX50" s="62"/>
      <c r="AY50" s="62"/>
      <c r="AZ50" s="62"/>
      <c r="BA50" s="62"/>
      <c r="BB50" s="62"/>
      <c r="BC50" s="62"/>
    </row>
    <row r="51" spans="1:55" s="66" customFormat="1" ht="15">
      <c r="A51" s="47"/>
      <c r="B51" s="48"/>
      <c r="C51" s="47"/>
      <c r="D51" s="47"/>
      <c r="E51" s="47"/>
      <c r="F51" s="49"/>
      <c r="G51" s="47"/>
      <c r="H51" s="51"/>
      <c r="I51" s="47"/>
      <c r="J51" s="47"/>
      <c r="K51" s="53"/>
      <c r="L51" s="53"/>
      <c r="M51" s="54"/>
      <c r="N51" s="54"/>
      <c r="O51" s="47"/>
      <c r="P51" s="55"/>
      <c r="Q51" s="55"/>
      <c r="R51" s="56"/>
      <c r="S51" s="55"/>
      <c r="T51" s="57"/>
      <c r="U51" s="58"/>
      <c r="V51" s="59"/>
      <c r="W51" s="60"/>
      <c r="X51" s="61"/>
      <c r="Y51" s="62"/>
      <c r="Z51" s="63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4"/>
      <c r="AM51" s="62"/>
      <c r="AN51" s="63"/>
      <c r="AO51" s="62"/>
      <c r="AP51" s="62"/>
      <c r="AQ51" s="62"/>
      <c r="AR51" s="62"/>
      <c r="AS51" s="62"/>
      <c r="AT51" s="62"/>
      <c r="AU51" s="62"/>
      <c r="AV51" s="60"/>
      <c r="AW51" s="65"/>
      <c r="AX51" s="62"/>
      <c r="AY51" s="62"/>
      <c r="AZ51" s="62"/>
      <c r="BA51" s="62"/>
      <c r="BB51" s="62"/>
      <c r="BC51" s="62"/>
    </row>
    <row r="52" spans="1:55" s="66" customFormat="1" ht="15">
      <c r="A52" s="47"/>
      <c r="B52" s="48"/>
      <c r="C52" s="47"/>
      <c r="D52" s="47"/>
      <c r="E52" s="47"/>
      <c r="F52" s="49"/>
      <c r="G52" s="47"/>
      <c r="H52" s="51"/>
      <c r="I52" s="47"/>
      <c r="J52" s="47"/>
      <c r="K52" s="53"/>
      <c r="L52" s="53"/>
      <c r="M52" s="54"/>
      <c r="N52" s="54"/>
      <c r="O52" s="47"/>
      <c r="P52" s="55"/>
      <c r="Q52" s="55"/>
      <c r="R52" s="56"/>
      <c r="S52" s="55"/>
      <c r="T52" s="57"/>
      <c r="U52" s="58"/>
      <c r="V52" s="59"/>
      <c r="W52" s="60"/>
      <c r="X52" s="61"/>
      <c r="Y52" s="62"/>
      <c r="Z52" s="63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4"/>
      <c r="AM52" s="62"/>
      <c r="AN52" s="63"/>
      <c r="AO52" s="62"/>
      <c r="AP52" s="62"/>
      <c r="AQ52" s="62"/>
      <c r="AR52" s="62"/>
      <c r="AS52" s="62"/>
      <c r="AT52" s="62"/>
      <c r="AU52" s="62"/>
      <c r="AV52" s="60"/>
      <c r="AW52" s="65"/>
      <c r="AX52" s="62"/>
      <c r="AY52" s="62"/>
      <c r="AZ52" s="62"/>
      <c r="BA52" s="62"/>
      <c r="BB52" s="62"/>
      <c r="BC52" s="62"/>
    </row>
    <row r="53" spans="1:55" s="66" customFormat="1" ht="15">
      <c r="A53" s="47"/>
      <c r="B53" s="48"/>
      <c r="C53" s="47"/>
      <c r="D53" s="47"/>
      <c r="E53" s="47"/>
      <c r="F53" s="49"/>
      <c r="G53" s="47"/>
      <c r="H53" s="51"/>
      <c r="I53" s="47"/>
      <c r="J53" s="47"/>
      <c r="K53" s="53"/>
      <c r="L53" s="53"/>
      <c r="M53" s="54"/>
      <c r="N53" s="54"/>
      <c r="O53" s="47"/>
      <c r="P53" s="55"/>
      <c r="Q53" s="55"/>
      <c r="R53" s="56"/>
      <c r="S53" s="55"/>
      <c r="T53" s="57"/>
      <c r="U53" s="58"/>
      <c r="V53" s="59"/>
      <c r="W53" s="60"/>
      <c r="X53" s="61"/>
      <c r="Y53" s="62"/>
      <c r="Z53" s="63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4"/>
      <c r="AM53" s="62"/>
      <c r="AN53" s="63"/>
      <c r="AO53" s="62"/>
      <c r="AP53" s="62"/>
      <c r="AQ53" s="62"/>
      <c r="AR53" s="62"/>
      <c r="AS53" s="62"/>
      <c r="AT53" s="62"/>
      <c r="AU53" s="62"/>
      <c r="AV53" s="60"/>
      <c r="AW53" s="65"/>
      <c r="AX53" s="62"/>
      <c r="AY53" s="62"/>
      <c r="AZ53" s="62"/>
      <c r="BA53" s="62"/>
      <c r="BB53" s="62"/>
      <c r="BC53" s="62"/>
    </row>
    <row r="54" spans="1:55" s="66" customFormat="1" ht="15">
      <c r="A54" s="47"/>
      <c r="B54" s="48"/>
      <c r="C54" s="47"/>
      <c r="D54" s="47"/>
      <c r="E54" s="47"/>
      <c r="F54" s="49"/>
      <c r="G54" s="47"/>
      <c r="H54" s="51"/>
      <c r="I54" s="47"/>
      <c r="J54" s="47"/>
      <c r="K54" s="53"/>
      <c r="L54" s="53"/>
      <c r="M54" s="54"/>
      <c r="N54" s="54"/>
      <c r="O54" s="47"/>
      <c r="P54" s="55"/>
      <c r="Q54" s="55"/>
      <c r="R54" s="56"/>
      <c r="S54" s="55"/>
      <c r="T54" s="57"/>
      <c r="U54" s="58"/>
      <c r="V54" s="59"/>
      <c r="W54" s="60"/>
      <c r="X54" s="61"/>
      <c r="Y54" s="62"/>
      <c r="Z54" s="63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4"/>
      <c r="AM54" s="62"/>
      <c r="AN54" s="63"/>
      <c r="AO54" s="62"/>
      <c r="AP54" s="62"/>
      <c r="AQ54" s="62"/>
      <c r="AR54" s="62"/>
      <c r="AS54" s="62"/>
      <c r="AT54" s="62"/>
      <c r="AU54" s="62"/>
      <c r="AV54" s="60"/>
      <c r="AW54" s="65"/>
      <c r="AX54" s="62"/>
      <c r="AY54" s="62"/>
      <c r="AZ54" s="62"/>
      <c r="BA54" s="62"/>
      <c r="BB54" s="62"/>
      <c r="BC54" s="62"/>
    </row>
    <row r="55" spans="1:55" s="66" customFormat="1" ht="15">
      <c r="A55" s="47"/>
      <c r="B55" s="48"/>
      <c r="C55" s="47"/>
      <c r="D55" s="47"/>
      <c r="E55" s="47"/>
      <c r="F55" s="49"/>
      <c r="G55" s="47"/>
      <c r="H55" s="51"/>
      <c r="I55" s="47"/>
      <c r="J55" s="47"/>
      <c r="K55" s="53"/>
      <c r="L55" s="53"/>
      <c r="M55" s="54"/>
      <c r="N55" s="54"/>
      <c r="O55" s="47"/>
      <c r="P55" s="55"/>
      <c r="Q55" s="55"/>
      <c r="R55" s="56"/>
      <c r="S55" s="55"/>
      <c r="T55" s="57"/>
      <c r="U55" s="58"/>
      <c r="V55" s="59"/>
      <c r="W55" s="60"/>
      <c r="X55" s="61"/>
      <c r="Y55" s="62"/>
      <c r="Z55" s="63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4"/>
      <c r="AM55" s="62"/>
      <c r="AN55" s="63"/>
      <c r="AO55" s="62"/>
      <c r="AP55" s="62"/>
      <c r="AQ55" s="62"/>
      <c r="AR55" s="62"/>
      <c r="AS55" s="62"/>
      <c r="AT55" s="62"/>
      <c r="AU55" s="62"/>
      <c r="AV55" s="60"/>
      <c r="AW55" s="65"/>
      <c r="AX55" s="62"/>
      <c r="AY55" s="62"/>
      <c r="AZ55" s="62"/>
      <c r="BA55" s="62"/>
      <c r="BB55" s="62"/>
      <c r="BC55" s="62"/>
    </row>
    <row r="56" spans="1:55" s="66" customFormat="1" ht="15">
      <c r="A56" s="47"/>
      <c r="B56" s="48"/>
      <c r="C56" s="47"/>
      <c r="D56" s="47"/>
      <c r="E56" s="47"/>
      <c r="F56" s="49"/>
      <c r="G56" s="47"/>
      <c r="H56" s="51"/>
      <c r="I56" s="47"/>
      <c r="J56" s="47"/>
      <c r="K56" s="53"/>
      <c r="L56" s="53"/>
      <c r="M56" s="54"/>
      <c r="N56" s="54"/>
      <c r="O56" s="47"/>
      <c r="P56" s="55"/>
      <c r="Q56" s="55"/>
      <c r="R56" s="56"/>
      <c r="S56" s="55"/>
      <c r="T56" s="57"/>
      <c r="U56" s="58"/>
      <c r="V56" s="59"/>
      <c r="W56" s="60"/>
      <c r="X56" s="61"/>
      <c r="Y56" s="62"/>
      <c r="Z56" s="63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4"/>
      <c r="AM56" s="62"/>
      <c r="AN56" s="63"/>
      <c r="AO56" s="62"/>
      <c r="AP56" s="62"/>
      <c r="AQ56" s="62"/>
      <c r="AR56" s="62"/>
      <c r="AS56" s="62"/>
      <c r="AT56" s="62"/>
      <c r="AU56" s="62"/>
      <c r="AV56" s="60"/>
      <c r="AW56" s="65"/>
      <c r="AX56" s="62"/>
      <c r="AY56" s="62"/>
      <c r="AZ56" s="62"/>
      <c r="BA56" s="62"/>
      <c r="BB56" s="62"/>
      <c r="BC56" s="62"/>
    </row>
    <row r="57" spans="1:55" s="66" customFormat="1" ht="15">
      <c r="A57" s="47"/>
      <c r="B57" s="48"/>
      <c r="C57" s="47"/>
      <c r="D57" s="47"/>
      <c r="E57" s="47"/>
      <c r="F57" s="49"/>
      <c r="G57" s="47"/>
      <c r="H57" s="51"/>
      <c r="I57" s="47"/>
      <c r="J57" s="47"/>
      <c r="K57" s="53"/>
      <c r="L57" s="53"/>
      <c r="M57" s="54"/>
      <c r="N57" s="54"/>
      <c r="O57" s="47"/>
      <c r="P57" s="55"/>
      <c r="Q57" s="55"/>
      <c r="R57" s="56"/>
      <c r="S57" s="55"/>
      <c r="T57" s="57"/>
      <c r="U57" s="58"/>
      <c r="V57" s="59"/>
      <c r="W57" s="60"/>
      <c r="X57" s="61"/>
      <c r="Y57" s="62"/>
      <c r="Z57" s="63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4"/>
      <c r="AM57" s="62"/>
      <c r="AN57" s="63"/>
      <c r="AO57" s="62"/>
      <c r="AP57" s="62"/>
      <c r="AQ57" s="62"/>
      <c r="AR57" s="62"/>
      <c r="AS57" s="62"/>
      <c r="AT57" s="62"/>
      <c r="AU57" s="62"/>
      <c r="AV57" s="60"/>
      <c r="AW57" s="65"/>
      <c r="AX57" s="62"/>
      <c r="AY57" s="62"/>
      <c r="AZ57" s="62"/>
      <c r="BA57" s="62"/>
      <c r="BB57" s="62"/>
      <c r="BC57" s="62"/>
    </row>
    <row r="58" spans="1:55" s="66" customFormat="1" ht="15">
      <c r="A58" s="47"/>
      <c r="B58" s="48"/>
      <c r="C58" s="47"/>
      <c r="D58" s="47"/>
      <c r="E58" s="47"/>
      <c r="F58" s="49"/>
      <c r="G58" s="47"/>
      <c r="H58" s="51"/>
      <c r="I58" s="47"/>
      <c r="J58" s="47"/>
      <c r="K58" s="53"/>
      <c r="L58" s="53"/>
      <c r="M58" s="54"/>
      <c r="N58" s="54"/>
      <c r="O58" s="47"/>
      <c r="P58" s="55"/>
      <c r="Q58" s="55"/>
      <c r="R58" s="56"/>
      <c r="S58" s="55"/>
      <c r="T58" s="57"/>
      <c r="U58" s="58"/>
      <c r="V58" s="59"/>
      <c r="W58" s="60"/>
      <c r="X58" s="61"/>
      <c r="Y58" s="62"/>
      <c r="Z58" s="63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4"/>
      <c r="AM58" s="62"/>
      <c r="AN58" s="63"/>
      <c r="AO58" s="62"/>
      <c r="AP58" s="62"/>
      <c r="AQ58" s="62"/>
      <c r="AR58" s="62"/>
      <c r="AS58" s="62"/>
      <c r="AT58" s="62"/>
      <c r="AU58" s="62"/>
      <c r="AV58" s="60"/>
      <c r="AW58" s="65"/>
      <c r="AX58" s="62"/>
      <c r="AY58" s="62"/>
      <c r="AZ58" s="62"/>
      <c r="BA58" s="62"/>
      <c r="BB58" s="62"/>
      <c r="BC58" s="62"/>
    </row>
    <row r="59" spans="1:55" s="66" customFormat="1" ht="15">
      <c r="A59" s="47"/>
      <c r="B59" s="48"/>
      <c r="C59" s="47"/>
      <c r="D59" s="47"/>
      <c r="E59" s="47"/>
      <c r="F59" s="49"/>
      <c r="G59" s="47"/>
      <c r="H59" s="51"/>
      <c r="I59" s="47"/>
      <c r="J59" s="47"/>
      <c r="K59" s="53"/>
      <c r="L59" s="53"/>
      <c r="M59" s="54"/>
      <c r="N59" s="54"/>
      <c r="O59" s="47"/>
      <c r="P59" s="55"/>
      <c r="Q59" s="55"/>
      <c r="R59" s="56"/>
      <c r="S59" s="55"/>
      <c r="T59" s="57"/>
      <c r="U59" s="58"/>
      <c r="V59" s="59"/>
      <c r="W59" s="60"/>
      <c r="X59" s="61"/>
      <c r="Y59" s="62"/>
      <c r="Z59" s="63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4"/>
      <c r="AM59" s="62"/>
      <c r="AN59" s="63"/>
      <c r="AO59" s="62"/>
      <c r="AP59" s="62"/>
      <c r="AQ59" s="62"/>
      <c r="AR59" s="62"/>
      <c r="AS59" s="62"/>
      <c r="AT59" s="62"/>
      <c r="AU59" s="62"/>
      <c r="AV59" s="60"/>
      <c r="AW59" s="65"/>
      <c r="AX59" s="62"/>
      <c r="AY59" s="62"/>
      <c r="AZ59" s="62"/>
      <c r="BA59" s="62"/>
      <c r="BB59" s="62"/>
      <c r="BC59" s="62"/>
    </row>
    <row r="60" spans="1:55" s="66" customFormat="1" ht="15">
      <c r="A60" s="47"/>
      <c r="B60" s="48"/>
      <c r="C60" s="47"/>
      <c r="D60" s="47"/>
      <c r="E60" s="47"/>
      <c r="F60" s="49"/>
      <c r="G60" s="47"/>
      <c r="H60" s="51"/>
      <c r="I60" s="47"/>
      <c r="J60" s="47"/>
      <c r="K60" s="53"/>
      <c r="L60" s="53"/>
      <c r="M60" s="54"/>
      <c r="N60" s="54"/>
      <c r="O60" s="47"/>
      <c r="P60" s="55"/>
      <c r="Q60" s="55"/>
      <c r="R60" s="56"/>
      <c r="S60" s="55"/>
      <c r="T60" s="57"/>
      <c r="U60" s="58"/>
      <c r="V60" s="59"/>
      <c r="W60" s="60"/>
      <c r="X60" s="61"/>
      <c r="Y60" s="62"/>
      <c r="Z60" s="63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4"/>
      <c r="AM60" s="62"/>
      <c r="AN60" s="63"/>
      <c r="AO60" s="62"/>
      <c r="AP60" s="62"/>
      <c r="AQ60" s="62"/>
      <c r="AR60" s="62"/>
      <c r="AS60" s="62"/>
      <c r="AT60" s="62"/>
      <c r="AU60" s="62"/>
      <c r="AV60" s="60"/>
      <c r="AW60" s="65"/>
      <c r="AX60" s="62"/>
      <c r="AY60" s="62"/>
      <c r="AZ60" s="62"/>
      <c r="BA60" s="62"/>
      <c r="BB60" s="62"/>
      <c r="BC60" s="62"/>
    </row>
    <row r="61" spans="1:55" s="66" customFormat="1" ht="15">
      <c r="A61" s="47"/>
      <c r="B61" s="48"/>
      <c r="C61" s="47"/>
      <c r="D61" s="47"/>
      <c r="E61" s="47"/>
      <c r="F61" s="49"/>
      <c r="G61" s="47"/>
      <c r="H61" s="51"/>
      <c r="I61" s="47"/>
      <c r="J61" s="47"/>
      <c r="K61" s="53"/>
      <c r="L61" s="53"/>
      <c r="M61" s="54"/>
      <c r="N61" s="54"/>
      <c r="O61" s="47"/>
      <c r="P61" s="55"/>
      <c r="Q61" s="55"/>
      <c r="R61" s="56"/>
      <c r="S61" s="55"/>
      <c r="T61" s="57"/>
      <c r="U61" s="58"/>
      <c r="V61" s="59"/>
      <c r="W61" s="60"/>
      <c r="X61" s="61"/>
      <c r="Y61" s="62"/>
      <c r="Z61" s="63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4"/>
      <c r="AM61" s="62"/>
      <c r="AN61" s="63"/>
      <c r="AO61" s="62"/>
      <c r="AP61" s="62"/>
      <c r="AQ61" s="62"/>
      <c r="AR61" s="62"/>
      <c r="AS61" s="62"/>
      <c r="AT61" s="62"/>
      <c r="AU61" s="62"/>
      <c r="AV61" s="60"/>
      <c r="AW61" s="65"/>
      <c r="AX61" s="62"/>
      <c r="AY61" s="62"/>
      <c r="AZ61" s="62"/>
      <c r="BA61" s="62"/>
      <c r="BB61" s="62"/>
      <c r="BC61" s="62"/>
    </row>
    <row r="62" spans="1:55" s="66" customFormat="1" ht="15">
      <c r="A62" s="47"/>
      <c r="B62" s="48"/>
      <c r="C62" s="47"/>
      <c r="D62" s="47"/>
      <c r="E62" s="47"/>
      <c r="F62" s="49"/>
      <c r="G62" s="47"/>
      <c r="H62" s="51"/>
      <c r="I62" s="47"/>
      <c r="J62" s="47"/>
      <c r="K62" s="53"/>
      <c r="L62" s="53"/>
      <c r="M62" s="54"/>
      <c r="N62" s="54"/>
      <c r="O62" s="47"/>
      <c r="P62" s="55"/>
      <c r="Q62" s="55"/>
      <c r="R62" s="56"/>
      <c r="S62" s="55"/>
      <c r="T62" s="57"/>
      <c r="U62" s="58"/>
      <c r="V62" s="59"/>
      <c r="W62" s="60"/>
      <c r="X62" s="61"/>
      <c r="Y62" s="62"/>
      <c r="Z62" s="63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4"/>
      <c r="AM62" s="62"/>
      <c r="AN62" s="63"/>
      <c r="AO62" s="62"/>
      <c r="AP62" s="62"/>
      <c r="AQ62" s="62"/>
      <c r="AR62" s="62"/>
      <c r="AS62" s="62"/>
      <c r="AT62" s="62"/>
      <c r="AU62" s="62"/>
      <c r="AV62" s="60"/>
      <c r="AW62" s="65"/>
      <c r="AX62" s="62"/>
      <c r="AY62" s="62"/>
      <c r="AZ62" s="62"/>
      <c r="BA62" s="62"/>
      <c r="BB62" s="62"/>
      <c r="BC62" s="62"/>
    </row>
    <row r="63" spans="1:55" s="66" customFormat="1" ht="15">
      <c r="A63" s="47"/>
      <c r="B63" s="48"/>
      <c r="C63" s="47"/>
      <c r="D63" s="47"/>
      <c r="E63" s="47"/>
      <c r="F63" s="49"/>
      <c r="G63" s="47"/>
      <c r="H63" s="51"/>
      <c r="I63" s="47"/>
      <c r="J63" s="47"/>
      <c r="K63" s="53"/>
      <c r="L63" s="53"/>
      <c r="M63" s="54"/>
      <c r="N63" s="54"/>
      <c r="O63" s="47"/>
      <c r="P63" s="55"/>
      <c r="Q63" s="55"/>
      <c r="R63" s="56"/>
      <c r="S63" s="55"/>
      <c r="T63" s="57"/>
      <c r="U63" s="58"/>
      <c r="V63" s="59"/>
      <c r="W63" s="60"/>
      <c r="X63" s="61"/>
      <c r="Y63" s="62"/>
      <c r="Z63" s="63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4"/>
      <c r="AM63" s="62"/>
      <c r="AN63" s="63"/>
      <c r="AO63" s="62"/>
      <c r="AP63" s="62"/>
      <c r="AQ63" s="62"/>
      <c r="AR63" s="62"/>
      <c r="AS63" s="62"/>
      <c r="AT63" s="62"/>
      <c r="AU63" s="62"/>
      <c r="AV63" s="60"/>
      <c r="AW63" s="65"/>
      <c r="AX63" s="62"/>
      <c r="AY63" s="62"/>
      <c r="AZ63" s="62"/>
      <c r="BA63" s="62"/>
      <c r="BB63" s="62"/>
      <c r="BC63" s="62"/>
    </row>
    <row r="64" spans="1:55" s="66" customFormat="1" ht="15">
      <c r="A64" s="47"/>
      <c r="B64" s="48"/>
      <c r="C64" s="47"/>
      <c r="D64" s="47"/>
      <c r="E64" s="47"/>
      <c r="F64" s="49"/>
      <c r="G64" s="47"/>
      <c r="H64" s="51"/>
      <c r="I64" s="47"/>
      <c r="J64" s="47"/>
      <c r="K64" s="53"/>
      <c r="L64" s="53"/>
      <c r="M64" s="54"/>
      <c r="N64" s="54"/>
      <c r="O64" s="47"/>
      <c r="P64" s="55"/>
      <c r="Q64" s="55"/>
      <c r="R64" s="56"/>
      <c r="S64" s="55"/>
      <c r="T64" s="57"/>
      <c r="U64" s="58"/>
      <c r="V64" s="59"/>
      <c r="W64" s="60"/>
      <c r="X64" s="61"/>
      <c r="Y64" s="62"/>
      <c r="Z64" s="63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4"/>
      <c r="AM64" s="62"/>
      <c r="AN64" s="63"/>
      <c r="AO64" s="62"/>
      <c r="AP64" s="62"/>
      <c r="AQ64" s="62"/>
      <c r="AR64" s="62"/>
      <c r="AS64" s="62"/>
      <c r="AT64" s="62"/>
      <c r="AU64" s="62"/>
      <c r="AV64" s="60"/>
      <c r="AW64" s="65"/>
      <c r="AX64" s="62"/>
      <c r="AY64" s="62"/>
      <c r="AZ64" s="62"/>
      <c r="BA64" s="62"/>
      <c r="BB64" s="62"/>
      <c r="BC64" s="62"/>
    </row>
    <row r="65" spans="1:55" s="66" customFormat="1" ht="15">
      <c r="A65" s="47"/>
      <c r="B65" s="48"/>
      <c r="C65" s="47"/>
      <c r="D65" s="47"/>
      <c r="E65" s="47"/>
      <c r="F65" s="49"/>
      <c r="G65" s="47"/>
      <c r="H65" s="51"/>
      <c r="I65" s="47"/>
      <c r="J65" s="47"/>
      <c r="K65" s="53"/>
      <c r="L65" s="53"/>
      <c r="M65" s="54"/>
      <c r="N65" s="54"/>
      <c r="O65" s="47"/>
      <c r="P65" s="55"/>
      <c r="Q65" s="55"/>
      <c r="R65" s="56"/>
      <c r="S65" s="55"/>
      <c r="T65" s="57"/>
      <c r="U65" s="58"/>
      <c r="V65" s="59"/>
      <c r="W65" s="60"/>
      <c r="X65" s="61"/>
      <c r="Y65" s="62"/>
      <c r="Z65" s="63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4"/>
      <c r="AM65" s="62"/>
      <c r="AN65" s="63"/>
      <c r="AO65" s="62"/>
      <c r="AP65" s="62"/>
      <c r="AQ65" s="62"/>
      <c r="AR65" s="62"/>
      <c r="AS65" s="62"/>
      <c r="AT65" s="62"/>
      <c r="AU65" s="62"/>
      <c r="AV65" s="60"/>
      <c r="AW65" s="65"/>
      <c r="AX65" s="62"/>
      <c r="AY65" s="62"/>
      <c r="AZ65" s="62"/>
      <c r="BA65" s="62"/>
      <c r="BB65" s="62"/>
      <c r="BC65" s="62"/>
    </row>
    <row r="66" spans="1:55" s="66" customFormat="1" ht="15">
      <c r="A66" s="47"/>
      <c r="B66" s="48"/>
      <c r="C66" s="47"/>
      <c r="D66" s="47"/>
      <c r="E66" s="47"/>
      <c r="F66" s="49"/>
      <c r="G66" s="47"/>
      <c r="H66" s="51"/>
      <c r="I66" s="47"/>
      <c r="J66" s="47"/>
      <c r="K66" s="53"/>
      <c r="L66" s="53"/>
      <c r="M66" s="54"/>
      <c r="N66" s="54"/>
      <c r="O66" s="47"/>
      <c r="P66" s="55"/>
      <c r="Q66" s="55"/>
      <c r="R66" s="56"/>
      <c r="S66" s="55"/>
      <c r="T66" s="57"/>
      <c r="U66" s="58"/>
      <c r="V66" s="59"/>
      <c r="W66" s="60"/>
      <c r="X66" s="61"/>
      <c r="Y66" s="62"/>
      <c r="Z66" s="63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4"/>
      <c r="AM66" s="62"/>
      <c r="AN66" s="63"/>
      <c r="AO66" s="62"/>
      <c r="AP66" s="62"/>
      <c r="AQ66" s="62"/>
      <c r="AR66" s="62"/>
      <c r="AS66" s="62"/>
      <c r="AT66" s="62"/>
      <c r="AU66" s="62"/>
      <c r="AV66" s="60"/>
      <c r="AW66" s="65"/>
      <c r="AX66" s="62"/>
      <c r="AY66" s="62"/>
      <c r="AZ66" s="62"/>
      <c r="BA66" s="62"/>
      <c r="BB66" s="62"/>
      <c r="BC66" s="62"/>
    </row>
    <row r="67" spans="1:55" s="66" customFormat="1" ht="15">
      <c r="A67" s="47"/>
      <c r="B67" s="48"/>
      <c r="C67" s="47"/>
      <c r="D67" s="47"/>
      <c r="E67" s="47"/>
      <c r="F67" s="49"/>
      <c r="G67" s="47"/>
      <c r="H67" s="51"/>
      <c r="I67" s="47"/>
      <c r="J67" s="47"/>
      <c r="K67" s="53"/>
      <c r="L67" s="53"/>
      <c r="M67" s="54"/>
      <c r="N67" s="54"/>
      <c r="O67" s="47"/>
      <c r="P67" s="55"/>
      <c r="Q67" s="55"/>
      <c r="R67" s="56"/>
      <c r="S67" s="55"/>
      <c r="T67" s="57"/>
      <c r="U67" s="58"/>
      <c r="V67" s="59"/>
      <c r="W67" s="60"/>
      <c r="X67" s="61"/>
      <c r="Y67" s="62"/>
      <c r="Z67" s="63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4"/>
      <c r="AM67" s="62"/>
      <c r="AN67" s="63"/>
      <c r="AO67" s="62"/>
      <c r="AP67" s="62"/>
      <c r="AQ67" s="62"/>
      <c r="AR67" s="62"/>
      <c r="AS67" s="62"/>
      <c r="AT67" s="62"/>
      <c r="AU67" s="62"/>
      <c r="AV67" s="60"/>
      <c r="AW67" s="65"/>
      <c r="AX67" s="62"/>
      <c r="AY67" s="62"/>
      <c r="AZ67" s="62"/>
      <c r="BA67" s="62"/>
      <c r="BB67" s="62"/>
      <c r="BC67" s="62"/>
    </row>
    <row r="68" spans="1:55" s="66" customFormat="1" ht="15">
      <c r="A68" s="47"/>
      <c r="B68" s="48"/>
      <c r="C68" s="47"/>
      <c r="D68" s="47"/>
      <c r="E68" s="47"/>
      <c r="F68" s="49"/>
      <c r="G68" s="47"/>
      <c r="H68" s="51"/>
      <c r="I68" s="47"/>
      <c r="J68" s="47"/>
      <c r="K68" s="53"/>
      <c r="L68" s="53"/>
      <c r="M68" s="54"/>
      <c r="N68" s="54"/>
      <c r="O68" s="47"/>
      <c r="P68" s="55"/>
      <c r="Q68" s="55"/>
      <c r="R68" s="56"/>
      <c r="S68" s="55"/>
      <c r="T68" s="57"/>
      <c r="U68" s="58"/>
      <c r="V68" s="59"/>
      <c r="W68" s="60"/>
      <c r="X68" s="61"/>
      <c r="Y68" s="62"/>
      <c r="Z68" s="63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4"/>
      <c r="AM68" s="62"/>
      <c r="AN68" s="63"/>
      <c r="AO68" s="62"/>
      <c r="AP68" s="62"/>
      <c r="AQ68" s="62"/>
      <c r="AR68" s="62"/>
      <c r="AS68" s="62"/>
      <c r="AT68" s="62"/>
      <c r="AU68" s="62"/>
      <c r="AV68" s="60"/>
      <c r="AW68" s="65"/>
      <c r="AX68" s="62"/>
      <c r="AY68" s="62"/>
      <c r="AZ68" s="62"/>
      <c r="BA68" s="62"/>
      <c r="BB68" s="62"/>
      <c r="BC68" s="62"/>
    </row>
    <row r="69" spans="1:55" s="66" customFormat="1" ht="15">
      <c r="A69" s="47"/>
      <c r="B69" s="48"/>
      <c r="C69" s="47"/>
      <c r="D69" s="47"/>
      <c r="E69" s="47"/>
      <c r="F69" s="49"/>
      <c r="G69" s="47"/>
      <c r="H69" s="51"/>
      <c r="I69" s="47"/>
      <c r="J69" s="47"/>
      <c r="K69" s="53"/>
      <c r="L69" s="53"/>
      <c r="M69" s="54"/>
      <c r="N69" s="54"/>
      <c r="O69" s="47"/>
      <c r="P69" s="55"/>
      <c r="Q69" s="55"/>
      <c r="R69" s="56"/>
      <c r="S69" s="55"/>
      <c r="T69" s="57"/>
      <c r="U69" s="58"/>
      <c r="V69" s="59"/>
      <c r="W69" s="60"/>
      <c r="X69" s="61"/>
      <c r="Y69" s="62"/>
      <c r="Z69" s="63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4"/>
      <c r="AM69" s="62"/>
      <c r="AN69" s="63"/>
      <c r="AO69" s="62"/>
      <c r="AP69" s="62"/>
      <c r="AQ69" s="62"/>
      <c r="AR69" s="62"/>
      <c r="AS69" s="62"/>
      <c r="AT69" s="62"/>
      <c r="AU69" s="62"/>
      <c r="AV69" s="60"/>
      <c r="AW69" s="65"/>
      <c r="AX69" s="62"/>
      <c r="AY69" s="62"/>
      <c r="AZ69" s="62"/>
      <c r="BA69" s="62"/>
      <c r="BB69" s="62"/>
      <c r="BC69" s="62"/>
    </row>
    <row r="70" spans="1:55" s="66" customFormat="1" ht="15">
      <c r="A70" s="47"/>
      <c r="B70" s="48"/>
      <c r="C70" s="47"/>
      <c r="D70" s="47"/>
      <c r="E70" s="47"/>
      <c r="F70" s="49"/>
      <c r="G70" s="47"/>
      <c r="H70" s="51"/>
      <c r="I70" s="47"/>
      <c r="J70" s="47"/>
      <c r="K70" s="53"/>
      <c r="L70" s="53"/>
      <c r="M70" s="54"/>
      <c r="N70" s="54"/>
      <c r="O70" s="47"/>
      <c r="P70" s="55"/>
      <c r="Q70" s="55"/>
      <c r="R70" s="56"/>
      <c r="S70" s="55"/>
      <c r="T70" s="57"/>
      <c r="U70" s="58"/>
      <c r="V70" s="59"/>
      <c r="W70" s="60"/>
      <c r="X70" s="61"/>
      <c r="Y70" s="62"/>
      <c r="Z70" s="63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4"/>
      <c r="AM70" s="62"/>
      <c r="AN70" s="63"/>
      <c r="AO70" s="62"/>
      <c r="AP70" s="62"/>
      <c r="AQ70" s="62"/>
      <c r="AR70" s="62"/>
      <c r="AS70" s="62"/>
      <c r="AT70" s="62"/>
      <c r="AU70" s="62"/>
      <c r="AV70" s="60"/>
      <c r="AW70" s="65"/>
      <c r="AX70" s="62"/>
      <c r="AY70" s="62"/>
      <c r="AZ70" s="62"/>
      <c r="BA70" s="62"/>
      <c r="BB70" s="62"/>
      <c r="BC70" s="62"/>
    </row>
    <row r="71" spans="1:55" s="66" customFormat="1" ht="15">
      <c r="A71" s="47"/>
      <c r="B71" s="48"/>
      <c r="C71" s="47"/>
      <c r="D71" s="47"/>
      <c r="E71" s="47"/>
      <c r="F71" s="49"/>
      <c r="G71" s="47"/>
      <c r="H71" s="51"/>
      <c r="I71" s="47"/>
      <c r="J71" s="47"/>
      <c r="K71" s="53"/>
      <c r="L71" s="53"/>
      <c r="M71" s="54"/>
      <c r="N71" s="54"/>
      <c r="O71" s="47"/>
      <c r="P71" s="55"/>
      <c r="Q71" s="55"/>
      <c r="R71" s="56"/>
      <c r="S71" s="55"/>
      <c r="T71" s="57"/>
      <c r="U71" s="58"/>
      <c r="V71" s="59"/>
      <c r="W71" s="60"/>
      <c r="X71" s="61"/>
      <c r="Y71" s="62"/>
      <c r="Z71" s="63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4"/>
      <c r="AM71" s="62"/>
      <c r="AN71" s="63"/>
      <c r="AO71" s="62"/>
      <c r="AP71" s="62"/>
      <c r="AQ71" s="62"/>
      <c r="AR71" s="62"/>
      <c r="AS71" s="62"/>
      <c r="AT71" s="62"/>
      <c r="AU71" s="62"/>
      <c r="AV71" s="60"/>
      <c r="AW71" s="65"/>
      <c r="AX71" s="62"/>
      <c r="AY71" s="62"/>
      <c r="AZ71" s="62"/>
      <c r="BA71" s="62"/>
      <c r="BB71" s="62"/>
      <c r="BC71" s="62"/>
    </row>
    <row r="72" spans="1:55" s="66" customFormat="1" ht="15">
      <c r="A72" s="47"/>
      <c r="B72" s="48"/>
      <c r="C72" s="47"/>
      <c r="D72" s="47"/>
      <c r="E72" s="47"/>
      <c r="F72" s="49"/>
      <c r="G72" s="47"/>
      <c r="H72" s="51"/>
      <c r="I72" s="47"/>
      <c r="J72" s="47"/>
      <c r="K72" s="53"/>
      <c r="L72" s="53"/>
      <c r="M72" s="54"/>
      <c r="N72" s="54"/>
      <c r="O72" s="47"/>
      <c r="P72" s="55"/>
      <c r="Q72" s="55"/>
      <c r="R72" s="56"/>
      <c r="S72" s="55"/>
      <c r="T72" s="57"/>
      <c r="U72" s="58"/>
      <c r="V72" s="59"/>
      <c r="W72" s="60"/>
      <c r="X72" s="61"/>
      <c r="Y72" s="62"/>
      <c r="Z72" s="63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4"/>
      <c r="AM72" s="62"/>
      <c r="AN72" s="63"/>
      <c r="AO72" s="62"/>
      <c r="AP72" s="62"/>
      <c r="AQ72" s="62"/>
      <c r="AR72" s="62"/>
      <c r="AS72" s="62"/>
      <c r="AT72" s="62"/>
      <c r="AU72" s="62"/>
      <c r="AV72" s="60"/>
      <c r="AW72" s="65"/>
      <c r="AX72" s="62"/>
      <c r="AY72" s="62"/>
      <c r="AZ72" s="62"/>
      <c r="BA72" s="62"/>
      <c r="BB72" s="62"/>
      <c r="BC72" s="62"/>
    </row>
    <row r="73" spans="1:55" s="66" customFormat="1" ht="15">
      <c r="A73" s="47"/>
      <c r="B73" s="48"/>
      <c r="C73" s="47"/>
      <c r="D73" s="47"/>
      <c r="E73" s="47"/>
      <c r="F73" s="49"/>
      <c r="G73" s="47"/>
      <c r="H73" s="51"/>
      <c r="I73" s="47"/>
      <c r="J73" s="47"/>
      <c r="K73" s="53"/>
      <c r="L73" s="53"/>
      <c r="M73" s="54"/>
      <c r="N73" s="54"/>
      <c r="O73" s="47"/>
      <c r="P73" s="55"/>
      <c r="Q73" s="55"/>
      <c r="R73" s="56"/>
      <c r="S73" s="55"/>
      <c r="T73" s="57"/>
      <c r="U73" s="58"/>
      <c r="V73" s="59"/>
      <c r="W73" s="60"/>
      <c r="X73" s="61"/>
      <c r="Y73" s="62"/>
      <c r="Z73" s="63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4"/>
      <c r="AM73" s="62"/>
      <c r="AN73" s="63"/>
      <c r="AO73" s="62"/>
      <c r="AP73" s="62"/>
      <c r="AQ73" s="62"/>
      <c r="AR73" s="62"/>
      <c r="AS73" s="62"/>
      <c r="AT73" s="62"/>
      <c r="AU73" s="62"/>
      <c r="AV73" s="60"/>
      <c r="AW73" s="65"/>
      <c r="AX73" s="62"/>
      <c r="AY73" s="62"/>
      <c r="AZ73" s="62"/>
      <c r="BA73" s="62"/>
      <c r="BB73" s="62"/>
      <c r="BC73" s="62"/>
    </row>
    <row r="74" spans="1:55" s="66" customFormat="1" ht="15">
      <c r="A74" s="47"/>
      <c r="B74" s="48"/>
      <c r="C74" s="47"/>
      <c r="D74" s="47"/>
      <c r="E74" s="47"/>
      <c r="F74" s="49"/>
      <c r="G74" s="47"/>
      <c r="H74" s="51"/>
      <c r="I74" s="47"/>
      <c r="J74" s="47"/>
      <c r="K74" s="53"/>
      <c r="L74" s="53"/>
      <c r="M74" s="54"/>
      <c r="N74" s="54"/>
      <c r="O74" s="47"/>
      <c r="P74" s="55"/>
      <c r="Q74" s="55"/>
      <c r="R74" s="56"/>
      <c r="S74" s="55"/>
      <c r="T74" s="57"/>
      <c r="U74" s="58"/>
      <c r="V74" s="59"/>
      <c r="W74" s="60"/>
      <c r="X74" s="61"/>
      <c r="Y74" s="62"/>
      <c r="Z74" s="63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4"/>
      <c r="AM74" s="62"/>
      <c r="AN74" s="63"/>
      <c r="AO74" s="62"/>
      <c r="AP74" s="62"/>
      <c r="AQ74" s="62"/>
      <c r="AR74" s="62"/>
      <c r="AS74" s="62"/>
      <c r="AT74" s="62"/>
      <c r="AU74" s="62"/>
      <c r="AV74" s="60"/>
      <c r="AW74" s="65"/>
      <c r="AX74" s="62"/>
      <c r="AY74" s="62"/>
      <c r="AZ74" s="62"/>
      <c r="BA74" s="62"/>
      <c r="BB74" s="62"/>
      <c r="BC74" s="62"/>
    </row>
    <row r="75" spans="1:55" s="66" customFormat="1" ht="18.75">
      <c r="A75" s="80" t="s">
        <v>102</v>
      </c>
      <c r="B75" s="81"/>
      <c r="C75" s="81"/>
      <c r="D75" s="81"/>
      <c r="E75" s="81"/>
      <c r="F75" s="82"/>
      <c r="G75" s="67"/>
      <c r="H75" s="51"/>
      <c r="I75" s="47"/>
      <c r="J75" s="47"/>
      <c r="K75" s="53"/>
      <c r="L75" s="68">
        <f>SUM(L6:L74)</f>
        <v>0</v>
      </c>
      <c r="M75" s="69">
        <f>SUM(M6:M74)</f>
        <v>0</v>
      </c>
      <c r="N75" s="69"/>
      <c r="O75" s="70">
        <f>COUNTA(O6:O74)-COUNTIF(O6:O74,"-")</f>
        <v>0</v>
      </c>
      <c r="P75" s="55"/>
      <c r="Q75" s="55"/>
      <c r="R75" s="56"/>
      <c r="S75" s="56"/>
      <c r="T75" s="47"/>
      <c r="U75" s="71"/>
      <c r="V75" s="72"/>
      <c r="W75" s="60"/>
      <c r="X75" s="73"/>
      <c r="Y75" s="74"/>
      <c r="Z75" s="75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6"/>
      <c r="AM75" s="74"/>
      <c r="AN75" s="75"/>
      <c r="AO75" s="74"/>
      <c r="AP75" s="74"/>
      <c r="AQ75" s="74"/>
      <c r="AR75" s="74"/>
      <c r="AS75" s="74"/>
      <c r="AT75" s="74"/>
      <c r="AU75" s="62"/>
      <c r="AV75" s="74"/>
      <c r="AW75" s="62"/>
      <c r="AX75" s="62"/>
      <c r="AY75" s="62"/>
      <c r="AZ75" s="62"/>
      <c r="BA75" s="62"/>
      <c r="BB75" s="62"/>
      <c r="BC75" s="62"/>
    </row>
    <row r="76" spans="1:55">
      <c r="W76" s="60"/>
      <c r="AU76" s="62"/>
    </row>
    <row r="77" spans="1:55">
      <c r="M77" s="15"/>
      <c r="N77" s="15"/>
    </row>
    <row r="78" spans="1:55">
      <c r="G78" s="77"/>
    </row>
    <row r="79" spans="1:55">
      <c r="G79" s="77"/>
    </row>
    <row r="80" spans="1:55">
      <c r="F80" s="78"/>
    </row>
    <row r="83" spans="10:10">
      <c r="J83" s="79"/>
    </row>
  </sheetData>
  <mergeCells count="2">
    <mergeCell ref="A75:F75"/>
    <mergeCell ref="A3: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 Nhu</dc:creator>
  <cp:lastModifiedBy>Minh Nguyen Nhu</cp:lastModifiedBy>
  <dcterms:created xsi:type="dcterms:W3CDTF">2025-11-25T02:52:43Z</dcterms:created>
  <dcterms:modified xsi:type="dcterms:W3CDTF">2025-11-25T03:07:26Z</dcterms:modified>
</cp:coreProperties>
</file>